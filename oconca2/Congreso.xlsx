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avier\Desktop\Javier\Oconca\"/>
    </mc:Choice>
  </mc:AlternateContent>
  <bookViews>
    <workbookView xWindow="0" yWindow="0" windowWidth="20490" windowHeight="7755"/>
  </bookViews>
  <sheets>
    <sheet name="Hoja1" sheetId="1" r:id="rId1"/>
  </sheets>
  <calcPr calcId="152511"/>
  <extLst>
    <ext uri="GoogleSheetsCustomDataVersion2">
      <go:sheetsCustomData xmlns:go="http://customooxmlschemas.google.com/" r:id="rId5" roundtripDataChecksum="m3fACUyRMA/d7+xUw5JRdl1SE9fuBOFxsdBfadqlc5g="/>
    </ext>
  </extLst>
</workbook>
</file>

<file path=xl/calcChain.xml><?xml version="1.0" encoding="utf-8"?>
<calcChain xmlns="http://schemas.openxmlformats.org/spreadsheetml/2006/main">
  <c r="F251" i="1" l="1"/>
  <c r="G246" i="1"/>
  <c r="G258" i="1" s="1"/>
  <c r="F246" i="1"/>
  <c r="F258" i="1" s="1"/>
  <c r="G229" i="1"/>
  <c r="G257" i="1" s="1"/>
  <c r="F229" i="1"/>
  <c r="F257" i="1" s="1"/>
  <c r="G205" i="1"/>
  <c r="G256" i="1" s="1"/>
  <c r="F205" i="1"/>
  <c r="F256" i="1" s="1"/>
  <c r="G187" i="1"/>
  <c r="G255" i="1" s="1"/>
  <c r="F187" i="1"/>
  <c r="F255" i="1" s="1"/>
  <c r="G163" i="1"/>
  <c r="G254" i="1" s="1"/>
  <c r="F163" i="1"/>
  <c r="F254" i="1" s="1"/>
  <c r="G126" i="1"/>
  <c r="G253" i="1" s="1"/>
  <c r="F126" i="1"/>
  <c r="F253" i="1" s="1"/>
  <c r="G84" i="1"/>
  <c r="G252" i="1" s="1"/>
  <c r="F84" i="1"/>
  <c r="F252" i="1" s="1"/>
  <c r="G23" i="1"/>
  <c r="G251" i="1" s="1"/>
  <c r="F23" i="1"/>
  <c r="D248" i="1"/>
  <c r="F248" i="1" l="1"/>
  <c r="G248" i="1"/>
</calcChain>
</file>

<file path=xl/sharedStrings.xml><?xml version="1.0" encoding="utf-8"?>
<sst xmlns="http://schemas.openxmlformats.org/spreadsheetml/2006/main" count="310" uniqueCount="310">
  <si>
    <t>BLOQUE</t>
  </si>
  <si>
    <t>INDICADOR (ASPECTO) A EVALUAR</t>
  </si>
  <si>
    <t>Puntos por criterio</t>
  </si>
  <si>
    <t>INDICADORES (CRITERIOS)</t>
  </si>
  <si>
    <t>EJEMPLO Congreso XXXX</t>
  </si>
  <si>
    <t>INTEGRACIÓN Y ESTRUCTURA</t>
  </si>
  <si>
    <r>
      <rPr>
        <sz val="10"/>
        <color theme="1"/>
        <rFont val="Arial"/>
      </rPr>
      <t xml:space="preserve">1.- El Poder Legislativo local tiene a la vista de toda persona en formato abierto, accesible y electrónico información sobre </t>
    </r>
    <r>
      <rPr>
        <b/>
        <u/>
        <sz val="10"/>
        <color theme="1"/>
        <rFont val="Arial"/>
      </rPr>
      <t>su conformación política</t>
    </r>
    <r>
      <rPr>
        <sz val="10"/>
        <color theme="1"/>
        <rFont val="Arial"/>
      </rPr>
      <t xml:space="preserve"> y está actualizada al menos al trimestre inmediato anterior de vigencia: </t>
    </r>
  </si>
  <si>
    <t xml:space="preserve">1.1 Indica todos los grupos legislativos y diputadas y diputados independientes (en caso de haberlos).      </t>
  </si>
  <si>
    <t>1.2  Lista completa de las y los diputados pertenecientes a cada grupo y fracción.</t>
  </si>
  <si>
    <t xml:space="preserve">1.3 Indica cuántas(os) y cuáles son de mayoría relativa y representación proporcional. </t>
  </si>
  <si>
    <t xml:space="preserve">1.4 Indica qué diputada(o) es el coordinador de cada grupo y fracción.  </t>
  </si>
  <si>
    <t>1.5 Se incluye información sobre la conformación política de la legislatura inmediata anterior (grupos legislativos y diputados independientes)</t>
  </si>
  <si>
    <r>
      <rPr>
        <sz val="10"/>
        <color theme="1"/>
        <rFont val="Arial"/>
      </rPr>
      <t xml:space="preserve">2.- El Poder Legislativo local tiene a la vista de toda persona en formato abierto, accesible y electrónico información sobre la </t>
    </r>
    <r>
      <rPr>
        <b/>
        <u/>
        <sz val="10"/>
        <color theme="1"/>
        <rFont val="Arial"/>
      </rPr>
      <t>integración de los siguientes órganos de gobierno</t>
    </r>
    <r>
      <rPr>
        <sz val="10"/>
        <color theme="1"/>
        <rFont val="Arial"/>
      </rPr>
      <t xml:space="preserve"> y está actualizada al menos al trimestre inmediato anterior de vigencia:</t>
    </r>
  </si>
  <si>
    <t>2.1  Indica quiénes integran el órgano que conduce las sesiones del Pleno (por ejemplo, Mesa Directiva) y el periodo de vigencia de dicha integración, especificando fechas.</t>
  </si>
  <si>
    <t xml:space="preserve">2.2 Indica quiénes conforman el órgano colegiado de gobierno que dirige el ejercicio de las funciones legislativas, políticas y administrativas del congreso y el periodo de vigencia de dicha integración, especificando fechas.   </t>
  </si>
  <si>
    <t xml:space="preserve">2.3 Indica quiénes integran el órgano que entra en funciones en los periodos de receso y el periodo de vigencia de dicha integración, especificando fechas. </t>
  </si>
  <si>
    <r>
      <rPr>
        <sz val="10"/>
        <color theme="1"/>
        <rFont val="Arial"/>
      </rPr>
      <t>3.- El Poder Legislativo local tiene a la vista de toda persona en formato abierto, accesible y electrónico información sobre</t>
    </r>
    <r>
      <rPr>
        <b/>
        <u/>
        <sz val="10"/>
        <color theme="1"/>
        <rFont val="Arial"/>
      </rPr>
      <t xml:space="preserve"> cada diputado</t>
    </r>
    <r>
      <rPr>
        <sz val="10"/>
        <color theme="1"/>
        <rFont val="Arial"/>
      </rPr>
      <t xml:space="preserve"> y está actualizada al menos al trimestre inmediato anterior de vigencia:</t>
    </r>
  </si>
  <si>
    <t xml:space="preserve">3.1 Currículum y formación académica. </t>
  </si>
  <si>
    <t xml:space="preserve">3.2 Se indica por cada diputado el distrito o circunscripción plurinominal en el que fue electo y el municipio (s) o, en su caso, Delegación del DF, que comprende dicha demarcación. </t>
  </si>
  <si>
    <t xml:space="preserve">3.3 Para el caso de los de mayoría, se encuentra la lista de colonias o comunidades con las respectivas secciones electorales que integran el Distrito.    </t>
  </si>
  <si>
    <t xml:space="preserve">3.4 Se publica en qué comisiones legislativas participa cada diputado, así como el cargo que ocupa en dichos órganos (presidente, vicepresidente, secretario o integrante).     </t>
  </si>
  <si>
    <t>3.5 La declaración patrimonial de cada diputado</t>
  </si>
  <si>
    <t>3.6 La declaración de conflicto de interés de cada diputado</t>
  </si>
  <si>
    <t>3.7 La declaración fiscal del año inmediato anterior de cada diputado</t>
  </si>
  <si>
    <r>
      <rPr>
        <sz val="10"/>
        <color theme="1"/>
        <rFont val="Arial"/>
      </rPr>
      <t xml:space="preserve">4.- El Poder Legislativo local tiene a la vista de toda persona en formato abierto, accesible y electrónico información sobre </t>
    </r>
    <r>
      <rPr>
        <b/>
        <u/>
        <sz val="10"/>
        <color theme="1"/>
        <rFont val="Arial"/>
      </rPr>
      <t>su estructura y funcionamiento interno</t>
    </r>
    <r>
      <rPr>
        <sz val="10"/>
        <color theme="1"/>
        <rFont val="Arial"/>
      </rPr>
      <t xml:space="preserve"> y está actualizada al menos al trimestre inmediato anterior de vigencia:</t>
    </r>
  </si>
  <si>
    <t xml:space="preserve">4.1 La estructura orgánica del Poder Legislativo de forma global, así como por órganos y dependencias. </t>
  </si>
  <si>
    <t>4.2 Las funciones e integración de las dependencias y sus áreas administrativas y operativas correspondientes.</t>
  </si>
  <si>
    <t>4.3 Los manuales de organización u otro documento oficial (donde se describan los perfiles de puesto del personal administrativo y operativo)  de las dependencias y áreas administrativas y operativas.</t>
  </si>
  <si>
    <t>4.4 Los manuales de políticas y/o procedimientos de las dependencias y áreas administrativas y operativas</t>
  </si>
  <si>
    <t>4.5 Número total y lista del personal de base y eventual por órgano o dependencia del Poder Legislativo.</t>
  </si>
  <si>
    <t>4.6 Se publica el reglamento interno del Poder Legislativo</t>
  </si>
  <si>
    <t>DESEMPEÑO LEGISLATIVO</t>
  </si>
  <si>
    <r>
      <rPr>
        <sz val="10"/>
        <color theme="1"/>
        <rFont val="Arial"/>
      </rPr>
      <t xml:space="preserve">5. El Poder Legislativo local tiene a la vista de toda persona en formato abierto, accesible y electrónico información sobre la </t>
    </r>
    <r>
      <rPr>
        <b/>
        <u/>
        <sz val="10"/>
        <color theme="1"/>
        <rFont val="Arial"/>
      </rPr>
      <t>Agenda legislativa (política)</t>
    </r>
    <r>
      <rPr>
        <sz val="10"/>
        <color theme="1"/>
        <rFont val="Arial"/>
      </rPr>
      <t xml:space="preserve"> y está actualizada al menos al trimestre inmediato anterior de vigencia:</t>
    </r>
  </si>
  <si>
    <t xml:space="preserve">5.1 Fecha de aprobacióno o expedición del documento.  </t>
  </si>
  <si>
    <t xml:space="preserve">5.2 Los temas o asuntos sobre los que se pretende legislar.  </t>
  </si>
  <si>
    <t xml:space="preserve">5.3 Aclara si comprende un periodo de sesiones, el periodo total de la legislatura en turno o cualquier otra temporalidad definida.  </t>
  </si>
  <si>
    <t xml:space="preserve">5.4 Existe un calendario o cronograma de desahogo/ cumplimiento para los diversos temas.     </t>
  </si>
  <si>
    <t xml:space="preserve">5.5 Fundamenta o justifica la selección de temas y asuntos para ser objeto de legislación y los tiempos estimados de cumplimiento.    </t>
  </si>
  <si>
    <t>5.6 Contempla algún tipo de sanción a los integrantes de la legislatura por incumplimiento total o parcial de la Agenda Legislativa</t>
  </si>
  <si>
    <t xml:space="preserve">5.7 Nombre de los diputados que firman o manifiestan su aprobación al documento.    </t>
  </si>
  <si>
    <t>5.8 Se publica la Agenda Legislativa del último año de la legislatura anterior</t>
  </si>
  <si>
    <r>
      <rPr>
        <sz val="10"/>
        <color theme="1"/>
        <rFont val="Arial"/>
      </rPr>
      <t xml:space="preserve">6.- El Poder Legislativo local tiene a la vista de toda persona en formato abierto, accesible y electrónico información sobre el </t>
    </r>
    <r>
      <rPr>
        <b/>
        <u/>
        <sz val="10"/>
        <color theme="1"/>
        <rFont val="Arial"/>
      </rPr>
      <t>trabajo y producción legislativos de cada diputado</t>
    </r>
    <r>
      <rPr>
        <sz val="10"/>
        <color theme="1"/>
        <rFont val="Arial"/>
      </rPr>
      <t xml:space="preserve"> (nivel individual) y está actualizada al menos al trimestre inmediato anterior de vigencia:</t>
    </r>
  </si>
  <si>
    <t xml:space="preserve">6.1 Su plan de trabajo para el periodo de sesiones o cualquier otra temporalidad (semestral, anual o para todo el periodo legislativo).  </t>
  </si>
  <si>
    <t xml:space="preserve">6.2 Asistencias y faltas (justificadas e injustificadas) a cada una de las sesiones de Pleno, comisiones y Comités </t>
  </si>
  <si>
    <r>
      <rPr>
        <sz val="10"/>
        <color theme="1"/>
        <rFont val="Arial"/>
      </rPr>
      <t>6.3 Lista de iniciativas que ha presentado con el documento correspondiente a cada una de ellas.</t>
    </r>
  </si>
  <si>
    <t xml:space="preserve">6.4 De las iniciativas presentadas, se especifica cuáles han sido resueltas (votadas por el Pleno) y cuáles están en trámite o estudio (especificando la comisión a la que se turno).      </t>
  </si>
  <si>
    <t xml:space="preserve">6.5 Informe de trabajo semestral, anual o por periodo de sesiones. </t>
  </si>
  <si>
    <r>
      <rPr>
        <sz val="10"/>
        <color theme="1"/>
        <rFont val="Arial"/>
      </rPr>
      <t xml:space="preserve">7. El Poder Legislativo local tiene a la vista de toda persona en formato abierto, accesible y electrónico información sobre la </t>
    </r>
    <r>
      <rPr>
        <b/>
        <u/>
        <sz val="10"/>
        <color theme="1"/>
        <rFont val="Arial"/>
      </rPr>
      <t>integración y trabajo de cada una de sus comisiones legislativas ordinarias y/o especiales</t>
    </r>
    <r>
      <rPr>
        <sz val="10"/>
        <color theme="1"/>
        <rFont val="Arial"/>
      </rPr>
      <t xml:space="preserve"> y está actualizada al menos al trimestre inmediato anterior de vigencia:</t>
    </r>
  </si>
  <si>
    <t xml:space="preserve">7.1 Indica quiénes integran cada una de las comisiones y sus respectivos cargos. </t>
  </si>
  <si>
    <t xml:space="preserve">7.2 Se publica la agenda política de cada comisión para el periodo de sesiones o cualquier otra temporalidad (debe incluir fecha de creación del documento). </t>
  </si>
  <si>
    <t>7.3 Se indican las fechas en que se turnan y se dictaminan las iniciativas que se le han asignado para su estudio o análisis.</t>
  </si>
  <si>
    <t xml:space="preserve">7.4 Las iniciativas están clasificadas en proyectos de ley, decreto, acuerdo o cualquier otra modalidad de asunto.   </t>
  </si>
  <si>
    <t xml:space="preserve">7.5 A su vez, se clasifican en iniciativas dictaminadas y pendientes.   </t>
  </si>
  <si>
    <t>7.6 Se encuentra disponible un resumen ejecutivo o descripción de cada iniciativa</t>
  </si>
  <si>
    <t>7.7 Se encuentra disponible el texto íntegro de cada iniciativa para su consulta</t>
  </si>
  <si>
    <t>7.8 Se publica un informe de trabajo de la comisión (trimestral, semestral, anual o por periodo de sesión, etc.)</t>
  </si>
  <si>
    <r>
      <rPr>
        <sz val="10"/>
        <color theme="1"/>
        <rFont val="Arial"/>
      </rPr>
      <t xml:space="preserve">8. El Poder Legislativo local tiene a la vista de toda persona en formato abierto, accesible y electrónico información sobre la </t>
    </r>
    <r>
      <rPr>
        <b/>
        <u/>
        <sz val="10"/>
        <color theme="1"/>
        <rFont val="Arial"/>
      </rPr>
      <t>producción legislativa del Pleno</t>
    </r>
    <r>
      <rPr>
        <sz val="10"/>
        <color theme="1"/>
        <rFont val="Arial"/>
      </rPr>
      <t xml:space="preserve"> y está actualizada al menos al trimestre inmediato anterior de vigencia:</t>
    </r>
  </si>
  <si>
    <t>8.1 Lista completa de proyectos de ley, decreto, puntos de acuerdo o cualquier otra modalidad de asunto, discutidos y votados hasta la última sesión</t>
  </si>
  <si>
    <t xml:space="preserve">8.2 Se hace una clasificación en proyectos de ley, decreto, puntos de acuerdo o cualquier otra modalidad de asunto.  </t>
  </si>
  <si>
    <t xml:space="preserve">8.3 A su vez, se clasifica en aprobados y rechazados.  </t>
  </si>
  <si>
    <t xml:space="preserve">8.4 La lista está dividida por año con sus respectivos meses o periodos de sesión. </t>
  </si>
  <si>
    <t xml:space="preserve">8.5 Se encuentra disponible el texto íntegro de cada proyecto discutido y votado hasta la última sesión.  </t>
  </si>
  <si>
    <r>
      <rPr>
        <sz val="10"/>
        <color theme="1"/>
        <rFont val="Arial"/>
      </rPr>
      <t xml:space="preserve">9. El Poder Legislativo local tiene a la vista de toda persona en formato abierto, accesible y electrónico información sobre </t>
    </r>
    <r>
      <rPr>
        <b/>
        <u/>
        <sz val="10"/>
        <color theme="1"/>
        <rFont val="Arial"/>
      </rPr>
      <t>cada proyecto discutido</t>
    </r>
    <r>
      <rPr>
        <sz val="10"/>
        <color theme="1"/>
        <rFont val="Arial"/>
      </rPr>
      <t xml:space="preserve"> (de ley, decreto, puntos de acuerdo o cualquier otra modalidad de asunto) </t>
    </r>
    <r>
      <rPr>
        <b/>
        <u/>
        <sz val="10"/>
        <color theme="1"/>
        <rFont val="Arial"/>
      </rPr>
      <t>y votado por el Pleno</t>
    </r>
    <r>
      <rPr>
        <sz val="10"/>
        <color theme="1"/>
        <rFont val="Arial"/>
      </rPr>
      <t xml:space="preserve"> y está actualizada al menos al trimestre inmediato anterior de vigencia:</t>
    </r>
  </si>
  <si>
    <t>9.1 Autor (s) y fecha de presentación oficial.</t>
  </si>
  <si>
    <t>9.2 Resumen ejecutivo o reseña del contenido y el objetivo del proyecto.</t>
  </si>
  <si>
    <t xml:space="preserve">9.3 Comisión dictaminadora (ordinaria o especial). </t>
  </si>
  <si>
    <t xml:space="preserve">9.4 Fecha en que se turnó a la comisión y fecha en que se dictaminó </t>
  </si>
  <si>
    <t xml:space="preserve">9.5 Si se dictaminó en sentido de aprobación o rechazo por el Pleno. </t>
  </si>
  <si>
    <t xml:space="preserve">9.6 Resultado de la votación en la comisión dictaminadora y el sentido del voto de cada integrante. </t>
  </si>
  <si>
    <t xml:space="preserve">9.7 Fecha de la sesión de Pleno en la que fue discutido y votado. </t>
  </si>
  <si>
    <t>9.8 Resultado de la votación en la sesión de Pleno respectiva y el sentido del voto del grupo legislativo y de cada diputado</t>
  </si>
  <si>
    <t xml:space="preserve">9.9 El efecto de la decisión de Pleno (si regresó a la comisión de estudio, se determina concluido el asunto o si se envía para su publicación por el Ejecutivo).   </t>
  </si>
  <si>
    <r>
      <rPr>
        <sz val="10"/>
        <color theme="1"/>
        <rFont val="Arial"/>
      </rPr>
      <t xml:space="preserve">10. El Poder Legislativo local tiene a la vista de toda persona en formato abierto, accesible y electrónico información sobre la </t>
    </r>
    <r>
      <rPr>
        <b/>
        <u/>
        <sz val="10"/>
        <color theme="1"/>
        <rFont val="Arial"/>
      </rPr>
      <t>estadística o numeralia</t>
    </r>
    <r>
      <rPr>
        <sz val="10"/>
        <color theme="1"/>
        <rFont val="Arial"/>
      </rPr>
      <t xml:space="preserve"> y está actualizada al menos al trimestre inmediato anterior de vigencia:</t>
    </r>
  </si>
  <si>
    <t xml:space="preserve">10.1 Número total de sesiones de Pleno realizadas.    </t>
  </si>
  <si>
    <t xml:space="preserve">10.2 Número total de sesiones de cada comisión (ordinaria o especial). </t>
  </si>
  <si>
    <t xml:space="preserve">10.3 Número total de iniciativas presentadas, clasificándolas en iniciativas de ley, decreto, acuerdo o cualquier otra modalidad de asunto. </t>
  </si>
  <si>
    <t xml:space="preserve">10.4 Número total de iniciativas discutidas y votadas por el Pleno, clasificándolas en proyectos de ley, decreto o acuerdo.  </t>
  </si>
  <si>
    <t>10.5 Número total de iniciativas discutidas y votadas por el Pleno, clasificándolas en aprobadas y rechazadas</t>
  </si>
  <si>
    <t xml:space="preserve">10.6 Número total de iniciativas presentadas por grupo legislativo, indicando cuántas han sido votadas por el Pleno. </t>
  </si>
  <si>
    <t>10.7 Número de asistencias a las sesiones de comisión por cada diputado, indicando faltas justificadas e injustificadas</t>
  </si>
  <si>
    <t xml:space="preserve">10.8 Número de asistencias a las sesiones de Pleno por diputado, indicando faltas justificadas e injustificadas.   </t>
  </si>
  <si>
    <t xml:space="preserve">10.9 El número de iniciativas provenientes del Poder Legislativo, Ejecutivo, Órganos Autónomos, Ayuntamientos, Ciudadanía o cualquier otro con facultad de iniciativa.    </t>
  </si>
  <si>
    <t>10.10 Compara con la numeralia o estadística de la legislatura anterior</t>
  </si>
  <si>
    <t>10.11 El Padrón de cabilderos, de acuerdo a la normatividad aplicable</t>
  </si>
  <si>
    <t>10.12 Versiones públicas de la información entregada en las audiencias públicas, comparecencias y en los procedimientos de designación, ratificación, elección, reelección o cualquier otro</t>
  </si>
  <si>
    <t>10.13 Lista (índice) de expedientes clasificados como reservados, por área responsable de la información y tema, incluyendo los supuestos/criterios de clasificación, prueba de daño, el tiempo de reserva o confidencialidad.</t>
  </si>
  <si>
    <t>10.14 Lista de documentos en Versión Pública entregados vía solicitud de acceso a la información, por área responsable de la información y tema.</t>
  </si>
  <si>
    <r>
      <rPr>
        <sz val="10"/>
        <color theme="1"/>
        <rFont val="Arial"/>
      </rPr>
      <t xml:space="preserve">11. El Poder Legislativo local tiene a la vista de toda persona en formato abierto, accesible y electrónico información sobre el </t>
    </r>
    <r>
      <rPr>
        <b/>
        <u/>
        <sz val="10"/>
        <color theme="1"/>
        <rFont val="Arial"/>
      </rPr>
      <t>Orden del Día de las sesiones</t>
    </r>
    <r>
      <rPr>
        <sz val="10"/>
        <color theme="1"/>
        <rFont val="Arial"/>
      </rPr>
      <t xml:space="preserve"> y está actualizada al menos al trimestre inmediato anterior de vigencia:</t>
    </r>
  </si>
  <si>
    <t xml:space="preserve">11.1 De las comisiones (ordinarias y especiales). </t>
  </si>
  <si>
    <t xml:space="preserve">11.2 De la Mesa Directiva. </t>
  </si>
  <si>
    <t>11.3 Del órgano* integrado por los coordinadores legislativos.</t>
  </si>
  <si>
    <t xml:space="preserve">11.4 De la Comisión Permanente. </t>
  </si>
  <si>
    <t>11.5 Del Pleno.</t>
  </si>
  <si>
    <r>
      <rPr>
        <sz val="10"/>
        <color theme="1"/>
        <rFont val="Arial"/>
      </rPr>
      <t xml:space="preserve">12. Las </t>
    </r>
    <r>
      <rPr>
        <b/>
        <u/>
        <sz val="10"/>
        <color theme="1"/>
        <rFont val="Arial"/>
      </rPr>
      <t>sesiones de Pleno</t>
    </r>
    <r>
      <rPr>
        <sz val="10"/>
        <color theme="1"/>
        <rFont val="Arial"/>
      </rPr>
      <t xml:space="preserve"> se desarrollan de acuerdo a los siguientes criterios:</t>
    </r>
  </si>
  <si>
    <t>12.1 Se transmiten por internet, televisión o radio</t>
  </si>
  <si>
    <r>
      <rPr>
        <sz val="10"/>
        <color theme="1"/>
        <rFont val="Arial"/>
      </rPr>
      <t xml:space="preserve">13. La Ley Orgánica del Poder Legislativo local establece claramente que </t>
    </r>
    <r>
      <rPr>
        <b/>
        <u/>
        <sz val="10"/>
        <color theme="1"/>
        <rFont val="Arial"/>
      </rPr>
      <t>todas las sesiones de sus órganos sean públicas</t>
    </r>
    <r>
      <rPr>
        <sz val="10"/>
        <color theme="1"/>
        <rFont val="Arial"/>
      </rPr>
      <t xml:space="preserve">: </t>
    </r>
  </si>
  <si>
    <t xml:space="preserve">13.1 Del Pleno.  </t>
  </si>
  <si>
    <t xml:space="preserve">13.2 De la Mesa Directiva. </t>
  </si>
  <si>
    <t xml:space="preserve">13.3 Del órgano integrado por los coordinadores legislativos. </t>
  </si>
  <si>
    <t xml:space="preserve">13.4 De la Comisión Permanente. </t>
  </si>
  <si>
    <t>13.5 De las Comisiones (ordinarias y especiales)</t>
  </si>
  <si>
    <t>DOCUMENTACIÓN LEGISLATIVA</t>
  </si>
  <si>
    <r>
      <rPr>
        <sz val="10"/>
        <color theme="1"/>
        <rFont val="Arial"/>
      </rPr>
      <t xml:space="preserve">14. El Poder Legislativo local tiene a la vista de toda persona en formato abierto, accesible y electrónico información sobre la </t>
    </r>
    <r>
      <rPr>
        <b/>
        <u/>
        <sz val="10"/>
        <color theme="1"/>
        <rFont val="Arial"/>
      </rPr>
      <t>lista de la legislación vigente</t>
    </r>
    <r>
      <rPr>
        <sz val="10"/>
        <color theme="1"/>
        <rFont val="Arial"/>
      </rPr>
      <t xml:space="preserve"> (leyes, decretos, códigos, reglamentos, acuerdos) y está actualizada al menos al trimestre inmediato anterior de vigencia:</t>
    </r>
  </si>
  <si>
    <t>14.1 Indica la fecha de publicación de cada una en el Periódico Oficial.</t>
  </si>
  <si>
    <t xml:space="preserve">14.2 Indica la fecha de la última reforma de cada una.  </t>
  </si>
  <si>
    <t xml:space="preserve">14.3 Se encuentra disponible el texto íntegro de cada ordenamiento jurídico.  </t>
  </si>
  <si>
    <r>
      <rPr>
        <sz val="10"/>
        <color theme="1"/>
        <rFont val="Arial"/>
      </rPr>
      <t xml:space="preserve">15. 15.- El Poder Legislativo local tiene a la vista de toda persona en formato abierto, accesible y electrónico información sobre las </t>
    </r>
    <r>
      <rPr>
        <b/>
        <u/>
        <sz val="10"/>
        <color theme="1"/>
        <rFont val="Arial"/>
      </rPr>
      <t>actas de sesión donde se indica lo siguiente</t>
    </r>
    <r>
      <rPr>
        <sz val="10"/>
        <color theme="1"/>
        <rFont val="Arial"/>
      </rPr>
      <t xml:space="preserve"> y está actualizada al menos al trimestre inmediato anterior de vigencia:</t>
    </r>
  </si>
  <si>
    <t>15.1 Fecha, lugar, hora de la sesión. (Comisiones Ordinarias y Especiales)</t>
  </si>
  <si>
    <t>15.2 Orden del día. (Comisiones Ordinarias y Especiales)</t>
  </si>
  <si>
    <t>15.3 Registro de asistencia (Comisiones Ordinarias y Especiales)</t>
  </si>
  <si>
    <t>15.4 La (s) resolución (es) tomada(s). (Comisiones Ordinarias y Especiales)</t>
  </si>
  <si>
    <t>15.5 Resultado de votación en general y el sentido de voto de cada diputado (Comisiones Ordinarias y Especiales)</t>
  </si>
  <si>
    <t>15.6 Fecha, lugar, hora de la sesión (Mesa Directiva)</t>
  </si>
  <si>
    <t>15.7 Orden del día (Mesa Directiva)</t>
  </si>
  <si>
    <t>15.8 Registro de asistencia (Mesa Directiva)</t>
  </si>
  <si>
    <t>15.9 La (s) resolución (es) tomada(s).  (Mesa Directiva)</t>
  </si>
  <si>
    <t>15.10 Resultado de votación en general y el sentido de voto de cada diputado (Mesa Directiva)</t>
  </si>
  <si>
    <t>15.11 Fecha, lugar, hora de la sesión (Comisión Permanente)</t>
  </si>
  <si>
    <t>15.12 Orden del día (Comisión Permanente)</t>
  </si>
  <si>
    <t>15.13 Registro de asistencia (Comisión Permanente)</t>
  </si>
  <si>
    <t>15.14 La (s) resolución (es) tomada(s).  (Comisión Permanente)</t>
  </si>
  <si>
    <t>15.15 Resultado de votación en general y el sentido de voto de cada diputado. (Comisión Permanente)</t>
  </si>
  <si>
    <t>15.16 Fecha, lugar, hora de la sesión. (Órgano integrado por Coordinadores)</t>
  </si>
  <si>
    <t>15.17 Orden del día. (Órgano integrado por Coordinadores)</t>
  </si>
  <si>
    <t>15.18 Registro de asistencia.  (Órgano integrado por Coordinadores)</t>
  </si>
  <si>
    <t>15.19 La (s) resolución (es) tomada(s).  (Órgano integrado por Coordinadores)</t>
  </si>
  <si>
    <t xml:space="preserve">15.20 Resultado de votación en general y el sentido de voto de cada diputado. (Órgano integrado por Coordinadores)    </t>
  </si>
  <si>
    <t>15.21 Fecha, lugar, hora de la sesión. (Pleno)</t>
  </si>
  <si>
    <t>15.22 Orden del día. (Pleno)</t>
  </si>
  <si>
    <t>15.23 Registro de asistencia.  (Pleno)</t>
  </si>
  <si>
    <t xml:space="preserve">15.24 La (s) resolución (es) tomada(s) (Pleno)  </t>
  </si>
  <si>
    <t xml:space="preserve">15.25 Resultado de votación en general y el sentido de voto de cada diputado. (Pleno)    </t>
  </si>
  <si>
    <r>
      <rPr>
        <sz val="10"/>
        <color theme="1"/>
        <rFont val="Arial"/>
      </rPr>
      <t>16. El Poder Legislativo local tiene a la vista de toda persona en formato abierto, accesible y electrónico información sobre las</t>
    </r>
    <r>
      <rPr>
        <b/>
        <u/>
        <sz val="10"/>
        <color theme="1"/>
        <rFont val="Arial"/>
      </rPr>
      <t xml:space="preserve"> versiones estenográficas de los siguientes órganos</t>
    </r>
    <r>
      <rPr>
        <sz val="10"/>
        <color theme="1"/>
        <rFont val="Arial"/>
      </rPr>
      <t xml:space="preserve"> y está actualizada al menos al trimestre inmediato anterior de vigencia:</t>
    </r>
  </si>
  <si>
    <t xml:space="preserve">16.1 De las comisiones ordinarias y especiales. </t>
  </si>
  <si>
    <t xml:space="preserve">16.2 De la Mesa Directiva.  </t>
  </si>
  <si>
    <t xml:space="preserve">16.3 De la Comisión Permanente.       </t>
  </si>
  <si>
    <t xml:space="preserve">16.4 Del órgano integrado por los coordinadores legislativos.   </t>
  </si>
  <si>
    <r>
      <rPr>
        <sz val="10"/>
        <color theme="1"/>
        <rFont val="Arial"/>
      </rPr>
      <t xml:space="preserve">17. El Poder Legislativo local tiene a la vista de toda persona en formato abierto, accesible y electrónico información sobre la </t>
    </r>
    <r>
      <rPr>
        <b/>
        <u/>
        <sz val="10"/>
        <color theme="1"/>
        <rFont val="Arial"/>
      </rPr>
      <t>Gaceta Legislativa o Parlamentaria</t>
    </r>
    <r>
      <rPr>
        <sz val="10"/>
        <color theme="1"/>
        <rFont val="Arial"/>
      </rPr>
      <t xml:space="preserve"> y está actualizada al menos al menos al trimestre inmediato anterior de vigencia:</t>
    </r>
  </si>
  <si>
    <t xml:space="preserve">17.1 Publica todas las gacetas legislativas de la actual legislatura.    </t>
  </si>
  <si>
    <t xml:space="preserve">17.2 Publica todas las gacetas legislativas de, cuando menos, la legislatura inmediata anterior.   </t>
  </si>
  <si>
    <r>
      <rPr>
        <sz val="10"/>
        <color theme="1"/>
        <rFont val="Arial"/>
      </rPr>
      <t>18. El Poder Legislativo local tiene a la vista de toda persona en formato abierto, accesible y electrónico información sobre el</t>
    </r>
    <r>
      <rPr>
        <b/>
        <u/>
        <sz val="10"/>
        <color theme="1"/>
        <rFont val="Arial"/>
      </rPr>
      <t xml:space="preserve"> Diario de Debates</t>
    </r>
    <r>
      <rPr>
        <sz val="10"/>
        <color theme="1"/>
        <rFont val="Arial"/>
      </rPr>
      <t xml:space="preserve"> y está actualizada al menos al trimestre inmediato anterior de vigencia:</t>
    </r>
  </si>
  <si>
    <t xml:space="preserve">18.1 Publica todas las versiones electrónicas del diario de debates de la actual legislatura.  </t>
  </si>
  <si>
    <t xml:space="preserve">18.2 Existe un archivo video gráfico actualizado de las sesiones de Pleno de la legislatura actual   </t>
  </si>
  <si>
    <t>18.3 Publica todas las versiones estenográficas del diario de debates de la legislatura inmediata anterior</t>
  </si>
  <si>
    <r>
      <rPr>
        <sz val="10"/>
        <color theme="1"/>
        <rFont val="Arial"/>
      </rPr>
      <t xml:space="preserve">19. El Poder Legislativo local tiene a la vista de toda persona en formato abierto, accesible y electrónico información sobre los </t>
    </r>
    <r>
      <rPr>
        <b/>
        <u/>
        <sz val="10"/>
        <color theme="1"/>
        <rFont val="Arial"/>
      </rPr>
      <t>productos o resultados de sus institutos/centros/unidades de estudio e investigación y sus costos ejercidos</t>
    </r>
    <r>
      <rPr>
        <sz val="10"/>
        <color theme="1"/>
        <rFont val="Arial"/>
      </rPr>
      <t xml:space="preserve"> y está actualizada al menos al trimestre inmediato anterior de vigencia:</t>
    </r>
  </si>
  <si>
    <t xml:space="preserve">19.1 La producción editorial (libros, manuales, guías, estudios, reportes e investigaciones etc.).  </t>
  </si>
  <si>
    <t>19.2 Los costos ejercidos de manera particular por cada producto con desglose</t>
  </si>
  <si>
    <t>19.3 El personal adscrito de manera particular por cada producto (internos y externos)</t>
  </si>
  <si>
    <t>19.4 Costos adicionales ejercidos respecto al producto desarrollado (presentaciones, conferencias, seminarios, etc.)</t>
  </si>
  <si>
    <t>GASTOS</t>
  </si>
  <si>
    <r>
      <rPr>
        <sz val="10"/>
        <color theme="1"/>
        <rFont val="Arial"/>
      </rPr>
      <t xml:space="preserve">20. El Poder Legislativo local tiene a la vista de toda persona en formato abierto, accesible y electrónico información sobre los </t>
    </r>
    <r>
      <rPr>
        <b/>
        <u/>
        <sz val="10"/>
        <color theme="1"/>
        <rFont val="Arial"/>
      </rPr>
      <t>recursos económicos y/o materiales adicionales a la dieta</t>
    </r>
    <r>
      <rPr>
        <sz val="10"/>
        <color theme="1"/>
        <rFont val="Arial"/>
      </rPr>
      <t xml:space="preserve"> y está actualizada al menos al trimestre inmediato anterior de vigencia:</t>
    </r>
  </si>
  <si>
    <t xml:space="preserve">20.1 Monto total que se entrega a cada diputado o grupo/fracción legislativa.   </t>
  </si>
  <si>
    <t xml:space="preserve">20.2 Periodicidad con que se entrega (quincenal, mensual, trimestral, semestral o anual).         </t>
  </si>
  <si>
    <t xml:space="preserve">20.3 Descripción del proceso de asignación y entrega de esos recursos (directamente a cada diputado o a los grupos legislativos por medio de los coordinadores para que éstos los liberen).     </t>
  </si>
  <si>
    <t xml:space="preserve">20.4 Los capítulos de *gasto pertenecientes a ese total y la cantidad o el porcentaje asignado a cada uno.  </t>
  </si>
  <si>
    <t xml:space="preserve">20.5 La entrega de equipos de telefonía (celulares o radios) para cada diputado, y en su caso, a sus empleados.   </t>
  </si>
  <si>
    <t xml:space="preserve">20.6 La entrega de equipos de cómputo asignados para cada diputado y/o sus empleados (adicionales a los de las oficinas).     </t>
  </si>
  <si>
    <t>20.7 Publica los recursos asignados a los diputados o fracciones de la legislatura anterior</t>
  </si>
  <si>
    <r>
      <rPr>
        <sz val="10"/>
        <color theme="1"/>
        <rFont val="Arial"/>
      </rPr>
      <t xml:space="preserve">21. El Poder Legislativo local tiene a la vista de toda persona en formato abierto, accesible y electrónico información sobre los </t>
    </r>
    <r>
      <rPr>
        <b/>
        <u/>
        <sz val="10"/>
        <color theme="1"/>
        <rFont val="Arial"/>
      </rPr>
      <t>bonos especiales o retribuciones económicas entregadas a los diputados</t>
    </r>
    <r>
      <rPr>
        <sz val="10"/>
        <color theme="1"/>
        <rFont val="Arial"/>
      </rPr>
      <t xml:space="preserve"> -adicionales a su dieta*- por presidir o integrar algún órgano de la legislatura; por ejemplo, Mesa Directiva, órgano integrado por los coordinadores, comisiones ordinarias y especiales, o por ser coordinadores de grupos/fracciones legislativas. Dicho información está actualizada al menos al trimestre inmediato anterior de vigencia:</t>
    </r>
  </si>
  <si>
    <t xml:space="preserve">21.1 Se publican las cantidades y el concepto por el que se otorgan. </t>
  </si>
  <si>
    <t xml:space="preserve">21.2 Se informa la periodicidad con que se entrega ese recurso. </t>
  </si>
  <si>
    <t xml:space="preserve">21.3 Recursos materiales (vehículos, oficinas, etc.) </t>
  </si>
  <si>
    <t xml:space="preserve">21.4 Recursos Humanos (secretarias, choferes, asesores, etc.).  </t>
  </si>
  <si>
    <r>
      <rPr>
        <sz val="10"/>
        <color theme="1"/>
        <rFont val="Arial"/>
      </rPr>
      <t xml:space="preserve">22. El Poder Legislativo local tiene a la vista de toda persona en formato abierto, accesible y electrónico información sobre el </t>
    </r>
    <r>
      <rPr>
        <b/>
        <u/>
        <sz val="10"/>
        <color theme="1"/>
        <rFont val="Arial"/>
      </rPr>
      <t>gasto realizado por concepto de asesorías a los diputados o al Poder Legislativo</t>
    </r>
    <r>
      <rPr>
        <sz val="10"/>
        <color theme="1"/>
        <rFont val="Arial"/>
      </rPr>
      <t xml:space="preserve"> y está actualizada al menos al trimestre inmediato anterior de vigencia:</t>
    </r>
  </si>
  <si>
    <t xml:space="preserve">22.1 Se publica el pago de asesorías (incluye fecha: día, mes y año).  </t>
  </si>
  <si>
    <t xml:space="preserve">22.2 Desglosa por nombre de la empresa, institución y/o individuos y se incluye su RFC. </t>
  </si>
  <si>
    <t xml:space="preserve">22.3 Se publica el concepto de cada una de las asesorías. </t>
  </si>
  <si>
    <t xml:space="preserve">22.4 Publica los propósitos y resultados (informes o reportes) de las asesorías. </t>
  </si>
  <si>
    <r>
      <rPr>
        <sz val="10"/>
        <color theme="1"/>
        <rFont val="Arial"/>
      </rPr>
      <t xml:space="preserve">23. El Poder Legislativo local tiene a la vista de toda persona en formato abierto, accesible y electrónico información sobre los </t>
    </r>
    <r>
      <rPr>
        <b/>
        <u/>
        <sz val="10"/>
        <color theme="1"/>
        <rFont val="Arial"/>
      </rPr>
      <t>gastos realizados por concepto de representaciones o viáticos para diputados y funcionarios del Poder Legislativo</t>
    </r>
    <r>
      <rPr>
        <sz val="10"/>
        <color theme="1"/>
        <rFont val="Arial"/>
      </rPr>
      <t xml:space="preserve"> y está actualizada al menos al trimestre inmediato anterior de vigencia:</t>
    </r>
  </si>
  <si>
    <t xml:space="preserve">23.1 Se publican las cantidades de gastos de representación o viáticos en forma global.   </t>
  </si>
  <si>
    <t xml:space="preserve">23.2 Desglosa por individuo y por viaje realizado. </t>
  </si>
  <si>
    <t xml:space="preserve">23.3 Se publica el objetivo del viaje y sus resultados. </t>
  </si>
  <si>
    <t xml:space="preserve">23.4 Publica los gastos ejercidos el año anterior. </t>
  </si>
  <si>
    <r>
      <rPr>
        <sz val="10"/>
        <color theme="1"/>
        <rFont val="Arial"/>
      </rPr>
      <t xml:space="preserve">24. El Poder Legislativo local tiene a la vista de toda persona en formato abierto, accesible y electrónico información sobre los </t>
    </r>
    <r>
      <rPr>
        <b/>
        <u/>
        <sz val="10"/>
        <color theme="1"/>
        <rFont val="Arial"/>
      </rPr>
      <t>gastos realizados en comunicación social/difusión</t>
    </r>
    <r>
      <rPr>
        <sz val="10"/>
        <color theme="1"/>
        <rFont val="Arial"/>
      </rPr>
      <t xml:space="preserve"> y está actualizada al menos al trimestre inmediato anterior de vigencia:</t>
    </r>
  </si>
  <si>
    <t xml:space="preserve">24.1 Publica información de gastos en comunicación social. </t>
  </si>
  <si>
    <t>24.2 Compara directamente contra el monto del año anterior.</t>
  </si>
  <si>
    <t xml:space="preserve">24.3 Desglosa por nombre de la empresa o razón social y se incluye su RFC. </t>
  </si>
  <si>
    <t xml:space="preserve">24.4 La publicación o listado incluye el número de factura (s). </t>
  </si>
  <si>
    <r>
      <rPr>
        <sz val="10"/>
        <color theme="1"/>
        <rFont val="Arial"/>
      </rPr>
      <t xml:space="preserve">25. El Poder Legislativo local tiene a la vista de toda persona en formato abierto, accesible y electrónico información sobre las </t>
    </r>
    <r>
      <rPr>
        <b/>
        <u/>
        <sz val="10"/>
        <color theme="1"/>
        <rFont val="Arial"/>
      </rPr>
      <t>compras o adjudicaciones</t>
    </r>
    <r>
      <rPr>
        <sz val="10"/>
        <color theme="1"/>
        <rFont val="Arial"/>
      </rPr>
      <t xml:space="preserve"> y está actualizada al menos al trimestre inmediato anterior de vigencia:</t>
    </r>
  </si>
  <si>
    <t>25.1 Listado de proveedores con RFC</t>
  </si>
  <si>
    <t>25.2 Convocatorias públicas o invitaciones directas (a cuando mensos tres personas o invitación directa)</t>
  </si>
  <si>
    <t>25.3 Publica el listado de contratos y/o compras, incluyendo servicios o bienes adquiridos, nombre de proveedor, RFC, monto, vigencia del contrato, número de factura y fecha, por cada uno de los órganos de gobierno, Comisiones, Comités, Grupos Parlamentarios, centros de estudio u órganos de investigación</t>
  </si>
  <si>
    <t>25.4 Resultado de estudios o investigaciones de naturaleza económica, política y social que realicen asesores externos.</t>
  </si>
  <si>
    <r>
      <rPr>
        <sz val="10"/>
        <color theme="1"/>
        <rFont val="Arial"/>
      </rPr>
      <t xml:space="preserve">26. El Poder Legislativo local tiene a la vista de toda persona en formato abierto, accesible y electrónico información sobre las </t>
    </r>
    <r>
      <rPr>
        <b/>
        <u/>
        <sz val="10"/>
        <color theme="1"/>
        <rFont val="Arial"/>
      </rPr>
      <t>finanzas y ejercicio del gasto</t>
    </r>
    <r>
      <rPr>
        <sz val="10"/>
        <color theme="1"/>
        <rFont val="Arial"/>
      </rPr>
      <t xml:space="preserve"> y está actualizada al menos al trimestre inmediato anterior de vigencia:</t>
    </r>
  </si>
  <si>
    <t xml:space="preserve">26.1 Se publican informes o documentación de la ejecución del gasto a nivel global.    </t>
  </si>
  <si>
    <t xml:space="preserve">26.2 Se publican reportes o documentación de la ejecución del gasto por órganos de gobierno, comisiones, comités y dependencias del Poder Legislativo. </t>
  </si>
  <si>
    <t xml:space="preserve">26.3 La ejecución del gasto asignado a los diputados y grupos/fracciones para apoyo de su trabajo legislativo y de representación.   </t>
  </si>
  <si>
    <t>26.4 Se publican los estados financieros de la legislatura actual</t>
  </si>
  <si>
    <t>26.5 Publica estados financieros de la legislatura anterior</t>
  </si>
  <si>
    <r>
      <rPr>
        <sz val="10"/>
        <color theme="1"/>
        <rFont val="Arial"/>
      </rPr>
      <t xml:space="preserve">27. El Poder Legislativo local tiene a la vista de toda persona en formato abierto, accesible y electrónico información sobre la </t>
    </r>
    <r>
      <rPr>
        <b/>
        <u/>
        <sz val="10"/>
        <color theme="1"/>
        <rFont val="Arial"/>
      </rPr>
      <t>remuneración mensual de los legisladores</t>
    </r>
    <r>
      <rPr>
        <sz val="10"/>
        <color theme="1"/>
        <rFont val="Arial"/>
      </rPr>
      <t xml:space="preserve"> y está actualizada al menos al trimestre inmediato anterior de vigencia:</t>
    </r>
  </si>
  <si>
    <t xml:space="preserve">27.1 La cantidad mensual otorgada a los legisladores por concepto de “dieta” y cualquier otro monto relacionado como fondos de ahorro, impuestos, previsión social, seguro de gastos médicos, seguro de vida, etc. </t>
  </si>
  <si>
    <t>27.2 Las prestaciones de ley a las que tienen derecho los diputados (en caso de haberlas) y/o las que la misma legislatura ha aprobado como prerrogativas para los propios diputados*.</t>
  </si>
  <si>
    <r>
      <rPr>
        <sz val="10"/>
        <color theme="1"/>
        <rFont val="Arial"/>
      </rPr>
      <t xml:space="preserve">28. El Poder Legislativo local tiene a la vista de toda persona en formato abierto, accesible y electrónico información sobre la </t>
    </r>
    <r>
      <rPr>
        <b/>
        <u/>
        <sz val="10"/>
        <color theme="1"/>
        <rFont val="Arial"/>
      </rPr>
      <t>remuneración mensual de todo el personal administrativo</t>
    </r>
    <r>
      <rPr>
        <sz val="10"/>
        <color theme="1"/>
        <rFont val="Arial"/>
      </rPr>
      <t xml:space="preserve"> y está actualizada al menos al trimestre inmediato anterior de vigencia:</t>
    </r>
  </si>
  <si>
    <t xml:space="preserve">28.1 La remuneración mensual (sueldo) del personal de base, por honorarios y eventuales, de confianza*, de acuerdo a su estructura orgánica (indicando cargo por dependencia y área administrativa).   </t>
  </si>
  <si>
    <t xml:space="preserve">28.2 Las prestaciones de ley y/o prerrogativas de cualquier tipo a las que son acreedores los empleados del Poder Legislativo**.     </t>
  </si>
  <si>
    <t>ADMINISTRACIÓN</t>
  </si>
  <si>
    <r>
      <rPr>
        <sz val="10"/>
        <color theme="1"/>
        <rFont val="Arial"/>
      </rPr>
      <t xml:space="preserve">29. El Poder Legislativo local tiene a la vista de toda persona en formato abierto, accesible y electrónico información sobre los </t>
    </r>
    <r>
      <rPr>
        <b/>
        <u/>
        <sz val="10"/>
        <color theme="1"/>
        <rFont val="Arial"/>
      </rPr>
      <t>proyectos de presupuesto anual</t>
    </r>
    <r>
      <rPr>
        <sz val="10"/>
        <color theme="1"/>
        <rFont val="Arial"/>
      </rPr>
      <t xml:space="preserve"> aprobados por la actual legislatura (incluyendo el año en curso) y está actualizada al menos al trimestre inmediato anterior de vigencia:</t>
    </r>
  </si>
  <si>
    <t xml:space="preserve">29.1 Se presenta de manera global (el monto total del presupuesto). </t>
  </si>
  <si>
    <t xml:space="preserve">29.2 Se presenta desglosado por monto asignado a diputados, órganos y dependencias.   </t>
  </si>
  <si>
    <t xml:space="preserve">29.3 Se presenta desglosado por objeto de gasto para el año que transcurre </t>
  </si>
  <si>
    <t xml:space="preserve">29.4 Se publica los tres presupuestos anuales de la legislatura anterior por objeto de gasto </t>
  </si>
  <si>
    <r>
      <rPr>
        <sz val="10"/>
        <color theme="1"/>
        <rFont val="Arial"/>
      </rPr>
      <t xml:space="preserve">30. El Poder Legislativo local tiene a la vista de toda persona en formato abierto, accesible y electrónico información sobre los </t>
    </r>
    <r>
      <rPr>
        <b/>
        <u/>
        <sz val="10"/>
        <color theme="1"/>
        <rFont val="Arial"/>
      </rPr>
      <t>procedimientos de selección, contratación y despido de cualquier empleado o funcionario</t>
    </r>
    <r>
      <rPr>
        <sz val="10"/>
        <color theme="1"/>
        <rFont val="Arial"/>
      </rPr>
      <t xml:space="preserve"> y está actualizada al menos al trimestre inmediato anterior de vigencia:</t>
    </r>
  </si>
  <si>
    <t>30.1 Personal de base</t>
  </si>
  <si>
    <t>30.2 Personal por honorarios</t>
  </si>
  <si>
    <t>30.3 Personal sindicalizado</t>
  </si>
  <si>
    <t xml:space="preserve">30.4 Personal eventual o transitorio.  </t>
  </si>
  <si>
    <t xml:space="preserve">30.5 Empleado/a / funcionario/a de confianza. </t>
  </si>
  <si>
    <t>30.6 Oficial mayor o Administrador general</t>
  </si>
  <si>
    <t>30.7 Se publica información relativa a los concursos para cargos administrativos</t>
  </si>
  <si>
    <r>
      <rPr>
        <sz val="10"/>
        <color theme="1"/>
        <rFont val="Arial"/>
      </rPr>
      <t xml:space="preserve">31. El Poder Legislativo local tiene a la vista de toda persona en formato abierto, accesible y electrónico información sobre el </t>
    </r>
    <r>
      <rPr>
        <b/>
        <u/>
        <sz val="10"/>
        <color theme="1"/>
        <rFont val="Arial"/>
      </rPr>
      <t>listado de bienes inmuebles y su uso</t>
    </r>
    <r>
      <rPr>
        <sz val="10"/>
        <color theme="1"/>
        <rFont val="Arial"/>
      </rPr>
      <t xml:space="preserve"> y está actualizada al menos al trimestre inmediato anterior de vigencia:</t>
    </r>
  </si>
  <si>
    <t>31.1 El listado incluye el nombre/descripción del bien inmueble y localización.</t>
  </si>
  <si>
    <t>31.2 El listado incluye el valor catastral actualizado y la clave de registro de cada bien inmueble.</t>
  </si>
  <si>
    <r>
      <rPr>
        <sz val="10"/>
        <color theme="1"/>
        <rFont val="Arial"/>
      </rPr>
      <t xml:space="preserve">32. El Poder Legislativo local tiene a la vista de toda persona en formato abierto, accesible y electrónico información sobre el listado de los </t>
    </r>
    <r>
      <rPr>
        <b/>
        <u/>
        <sz val="10"/>
        <color theme="1"/>
        <rFont val="Arial"/>
      </rPr>
      <t>bienes muebles propiedad del Poder Legislativo</t>
    </r>
    <r>
      <rPr>
        <sz val="10"/>
        <color theme="1"/>
        <rFont val="Arial"/>
      </rPr>
      <t xml:space="preserve"> y está actualizada al menos al trimestre inmediato anterior de vigencia:</t>
    </r>
  </si>
  <si>
    <t xml:space="preserve">32.1 El listado incluye la marca, modelo o número de serie del bien mueble. </t>
  </si>
  <si>
    <t xml:space="preserve">32.2 El listado incluye el valor de factura del bien mueble. </t>
  </si>
  <si>
    <t xml:space="preserve">32.3 El listado incluye la clave de registro del bien mueble. </t>
  </si>
  <si>
    <t xml:space="preserve">32.4 El listado tiene rubros de clasificación (autos, camionetas, maquinaria, etc.). </t>
  </si>
  <si>
    <t xml:space="preserve">32.5 El listado incluye a que área, órgano y diputado está asignada el bien mueble. </t>
  </si>
  <si>
    <t xml:space="preserve">32.6 El listado describe el estado del bien (desuso, reparación, uso). </t>
  </si>
  <si>
    <r>
      <rPr>
        <sz val="10"/>
        <color theme="1"/>
        <rFont val="Arial"/>
      </rPr>
      <t>33. El Poder Legislativo local tiene a la vista de toda persona en formato abierto, accesible y electrónico información sobre la</t>
    </r>
    <r>
      <rPr>
        <b/>
        <u/>
        <sz val="10"/>
        <color theme="1"/>
        <rFont val="Arial"/>
      </rPr>
      <t xml:space="preserve"> selección y la lista de los integrantes del comité (cualquiera que sea su nombre) que vigila/revisa las compras</t>
    </r>
    <r>
      <rPr>
        <sz val="10"/>
        <color theme="1"/>
        <rFont val="Arial"/>
      </rPr>
      <t xml:space="preserve"> y está actualizada al menos al trimestre inmediato anterior de vigencia:</t>
    </r>
  </si>
  <si>
    <t>33.1 Existe el Comité</t>
  </si>
  <si>
    <t>33.2 El Comité tiene un reglamento interno</t>
  </si>
  <si>
    <t>33.3 El reglamento describe el método de selección de integrantes</t>
  </si>
  <si>
    <t xml:space="preserve">33.4 Existe acta de instalación con el nombre de los integrantes, procedencia y cargos asignados. </t>
  </si>
  <si>
    <t>CONTROL INTERNO</t>
  </si>
  <si>
    <r>
      <rPr>
        <sz val="10"/>
        <color theme="1"/>
        <rFont val="Arial"/>
      </rPr>
      <t xml:space="preserve">34. El Poder Legislativo local tiene a la vista de toda persona en formato abierto, accesible y electrónico información sobre la </t>
    </r>
    <r>
      <rPr>
        <b/>
        <u/>
        <sz val="10"/>
        <color theme="1"/>
        <rFont val="Arial"/>
      </rPr>
      <t>actividad de la Contraloría Interna en materia disciplinaria</t>
    </r>
    <r>
      <rPr>
        <sz val="10"/>
        <color theme="1"/>
        <rFont val="Arial"/>
      </rPr>
      <t xml:space="preserve"> y está actualizada al menos al trimestre inmediato anterior de vigencia:</t>
    </r>
  </si>
  <si>
    <t xml:space="preserve">34.1 Número de quejas o denuncias realizadas y el motivo de las mismas. </t>
  </si>
  <si>
    <t>34.2 El número de procesos iniciados contra un funcionario o empleado</t>
  </si>
  <si>
    <t>34.3 La parte del proceso en que se encuentran los que no han concluido aun</t>
  </si>
  <si>
    <t xml:space="preserve">34.4 Las resoluciones de los procesos concluidos (mencionando las sanciones aplicadas y la fundamentación de la resolución independientemente de si se determina responsabilidad al funcionario por la omisión cometida o no).   </t>
  </si>
  <si>
    <r>
      <rPr>
        <sz val="10"/>
        <color theme="1"/>
        <rFont val="Arial"/>
      </rPr>
      <t xml:space="preserve">35. El Poder Legislativo local tiene a la vista de toda persona en formato abierto, accesible y electrónico información sobre las </t>
    </r>
    <r>
      <rPr>
        <b/>
        <u/>
        <sz val="10"/>
        <color theme="1"/>
        <rFont val="Arial"/>
      </rPr>
      <t>auditorías llevadas a cabo por la Contraloría Interna</t>
    </r>
    <r>
      <rPr>
        <sz val="10"/>
        <color theme="1"/>
        <rFont val="Arial"/>
      </rPr>
      <t xml:space="preserve"> y está actualizada al menos al trimestre inmediato anterior de vigencia:</t>
    </r>
  </si>
  <si>
    <t xml:space="preserve">35.1 Publica los informes de auditoría </t>
  </si>
  <si>
    <t>35.2 Clasifica las auditorías según su tipo (administrativas, financieras, etc.)</t>
  </si>
  <si>
    <t>35.3 Existe auditorías de desempeño o algo a fin al seguimiento a la labor del personal (cual fuere su contratación: base, confianza, honorarios, asimilados, etc.)</t>
  </si>
  <si>
    <t xml:space="preserve">35.4 Informa sobre los resultados y seguimiento de las medidas preventivas y/o correctivas que promueve.    </t>
  </si>
  <si>
    <t>35.5 Publica informes de auditoría de la legislatura anterior</t>
  </si>
  <si>
    <t>35.6 Se han aplicado algún tipo de sanciones a los servidores públicos respecto a las auditorias aplicadas, según su tipo</t>
  </si>
  <si>
    <r>
      <rPr>
        <sz val="10"/>
        <color theme="1"/>
        <rFont val="Arial"/>
      </rPr>
      <t xml:space="preserve">36. El Poder Legislativo local tiene a la vista de toda persona en formato abierto, accesible y electrónico información sobre el </t>
    </r>
    <r>
      <rPr>
        <b/>
        <u/>
        <sz val="10"/>
        <color theme="1"/>
        <rFont val="Arial"/>
      </rPr>
      <t>ejercicio y aplicación del gasto de diputados, órganos y dependencias</t>
    </r>
    <r>
      <rPr>
        <sz val="10"/>
        <color theme="1"/>
        <rFont val="Arial"/>
      </rPr>
      <t xml:space="preserve"> y está actualizada al menos al trimestre inmediato anterior de vigencia:</t>
    </r>
  </si>
  <si>
    <t>36.1 Listado de observaciones por diputado, funcionario, empleado, órgano y dependencia</t>
  </si>
  <si>
    <t>36.2 Estatus de las observaciones por diputado, funcionario, empleado órgano y dependencia</t>
  </si>
  <si>
    <t>36.3 Listado de las acciones promovidas por la contraloría interna</t>
  </si>
  <si>
    <t>36.4 Publica listado de observaciones y acciones promovidas por la contraloría en la legislatura anterior</t>
  </si>
  <si>
    <r>
      <rPr>
        <sz val="10"/>
        <color theme="1"/>
        <rFont val="Arial"/>
      </rPr>
      <t xml:space="preserve">37. El Poder Legislativo local tiene a la vista de toda persona en formato abierto, accesible y electrónico información sobre los </t>
    </r>
    <r>
      <rPr>
        <b/>
        <u/>
        <sz val="10"/>
        <color theme="1"/>
        <rFont val="Arial"/>
      </rPr>
      <t>informes de cuenta pública</t>
    </r>
    <r>
      <rPr>
        <sz val="10"/>
        <color theme="1"/>
        <rFont val="Arial"/>
      </rPr>
      <t xml:space="preserve"> y está actualizada al menos al trimestre inmediato anterior de vigencia:</t>
    </r>
  </si>
  <si>
    <t xml:space="preserve">37.1 Publica todos los informes de cuenta pública.   </t>
  </si>
  <si>
    <t xml:space="preserve">37.2 Publica los informes de revisión de Cuenta Pública realizados por el órgano de fiscalización superior de la entidad federativa.       </t>
  </si>
  <si>
    <t>37.3 Publica todos los informes de cuenta pública de la legislatura anterior</t>
  </si>
  <si>
    <t>VINCULACIÓN CIUDADANA</t>
  </si>
  <si>
    <r>
      <rPr>
        <sz val="10"/>
        <color theme="1"/>
        <rFont val="Arial"/>
      </rPr>
      <t xml:space="preserve">38. Existe un </t>
    </r>
    <r>
      <rPr>
        <b/>
        <u/>
        <sz val="10"/>
        <color rgb="FF000000"/>
        <rFont val="Arial"/>
      </rPr>
      <t>órgano ciudadano reconocido oficialmente</t>
    </r>
    <r>
      <rPr>
        <sz val="10"/>
        <color rgb="FF000000"/>
        <rFont val="Arial"/>
      </rPr>
      <t xml:space="preserve"> por el Poder Legislativo con el propósito de que la ciudadanía participe o vigile la actividad de sus órganos y dependencias</t>
    </r>
  </si>
  <si>
    <t>38.1 Su existencia está reconocida en la ley orgánica</t>
  </si>
  <si>
    <t>38.2 Su proceso y esquema de integración están regulados en la ley orgánica o en el reglamento interno</t>
  </si>
  <si>
    <t xml:space="preserve">38.3 Su modalidad o cláusulas de funcionamiento se estipulan en la ley orgánica o en el reglamento interior  </t>
  </si>
  <si>
    <t>38.4 Se expide convocatoria</t>
  </si>
  <si>
    <t>38.5 La mayoría de los integrantes son ciudadanos</t>
  </si>
  <si>
    <t>38.6 Se publican las minutas de sesiones de trabajo</t>
  </si>
  <si>
    <t>38.7 Las decisiones de este órgano son vinculantes</t>
  </si>
  <si>
    <r>
      <rPr>
        <sz val="10"/>
        <color theme="1"/>
        <rFont val="Arial"/>
      </rPr>
      <t xml:space="preserve">39. Existen un </t>
    </r>
    <r>
      <rPr>
        <b/>
        <u/>
        <sz val="10"/>
        <color rgb="FF000000"/>
        <rFont val="Arial"/>
      </rPr>
      <t>mecanismo de colaboración ciudadana</t>
    </r>
    <r>
      <rPr>
        <sz val="10"/>
        <color rgb="FF000000"/>
        <rFont val="Arial"/>
      </rPr>
      <t xml:space="preserve"> que facilite la interrelación entre la legislatura y la sociedad que promueva participación ciudadana en el diagnóstico, agenda legislativa, diseño y consulta de proyectos de iniciativa</t>
    </r>
  </si>
  <si>
    <t>39.1 Existe algún mecanismo ya reglamentado al respecto</t>
  </si>
  <si>
    <t>39.2 Explicita los procedimientos de colaboración o consulta ciudadana</t>
  </si>
  <si>
    <t>39.3 Establece las funciones que competen a los ciudadanos en este mecanismo de participación</t>
  </si>
  <si>
    <t>39.4 Define algún mecanismo vinculatorio de los resultados que produzca este mecanismo</t>
  </si>
  <si>
    <r>
      <rPr>
        <sz val="10"/>
        <color theme="1"/>
        <rFont val="Arial"/>
      </rPr>
      <t xml:space="preserve">40. En el Poder Legislativo local existen los siguientes </t>
    </r>
    <r>
      <rPr>
        <b/>
        <u/>
        <sz val="10"/>
        <color rgb="FF000000"/>
        <rFont val="Arial"/>
      </rPr>
      <t>mecanismos de atención ciudadana</t>
    </r>
  </si>
  <si>
    <r>
      <rPr>
        <sz val="10"/>
        <color theme="1"/>
        <rFont val="Arial"/>
      </rPr>
      <t xml:space="preserve">40.1 Un número telefónico especial y/o único por medio del cual toda persona puede solicitar información, hacer alguna aclaración o presentar una queja </t>
    </r>
    <r>
      <rPr>
        <i/>
        <sz val="10"/>
        <color theme="1"/>
        <rFont val="Arial"/>
      </rPr>
      <t>(debe especificarse horario de atención)</t>
    </r>
    <r>
      <rPr>
        <sz val="10"/>
        <color theme="1"/>
        <rFont val="Arial"/>
      </rPr>
      <t xml:space="preserve">.  </t>
    </r>
  </si>
  <si>
    <t>40.2 Una sección especial en la página de Internet de la Legislatura local donde toda persona puede solicitar información, hacer alguna aclaración o presentar una queja.</t>
  </si>
  <si>
    <r>
      <rPr>
        <sz val="10"/>
        <color theme="1"/>
        <rFont val="Arial"/>
      </rPr>
      <t xml:space="preserve">40.3 Indica la existencia y ubicación de una oficina, ventanilla o modulo especial de atención/información donde toda persona puede aclarar dudas o presentar una queja o sugerencia </t>
    </r>
    <r>
      <rPr>
        <i/>
        <sz val="10"/>
        <color theme="1"/>
        <rFont val="Arial"/>
      </rPr>
      <t>(debe especificarse horario de atención)</t>
    </r>
    <r>
      <rPr>
        <sz val="10"/>
        <color theme="1"/>
        <rFont val="Arial"/>
      </rPr>
      <t xml:space="preserve">.         </t>
    </r>
  </si>
  <si>
    <r>
      <rPr>
        <sz val="10"/>
        <color theme="1"/>
        <rFont val="Arial"/>
      </rPr>
      <t xml:space="preserve">41. En el Poder Legislativo local existen los siguientes </t>
    </r>
    <r>
      <rPr>
        <b/>
        <u/>
        <sz val="10"/>
        <color rgb="FF000000"/>
        <rFont val="Arial"/>
      </rPr>
      <t>medios de</t>
    </r>
    <r>
      <rPr>
        <u/>
        <sz val="10"/>
        <color rgb="FF000000"/>
        <rFont val="Arial"/>
      </rPr>
      <t xml:space="preserve"> </t>
    </r>
    <r>
      <rPr>
        <b/>
        <u/>
        <sz val="10"/>
        <color rgb="FF000000"/>
        <rFont val="Arial"/>
      </rPr>
      <t>atención a la ciudadanía</t>
    </r>
    <r>
      <rPr>
        <u/>
        <sz val="10"/>
        <color rgb="FF000000"/>
        <rFont val="Arial"/>
      </rPr>
      <t xml:space="preserve"> </t>
    </r>
    <r>
      <rPr>
        <b/>
        <u/>
        <sz val="10"/>
        <color rgb="FF000000"/>
        <rFont val="Arial"/>
      </rPr>
      <t>respecto a cada uno de los diputados</t>
    </r>
    <r>
      <rPr>
        <sz val="10"/>
        <color rgb="FF000000"/>
        <rFont val="Arial"/>
      </rPr>
      <t xml:space="preserve"> de la legislatura local</t>
    </r>
  </si>
  <si>
    <t>41.1 Directorio o lista de números telefónicos que comuniquen al ciudadano directamente a las oficinas de cada uno de los diputados en la sede legislativa.</t>
  </si>
  <si>
    <t xml:space="preserve">41.2 Directorio o lista de correos electrónicos oficiales de cada uno de los diputados. </t>
  </si>
  <si>
    <t xml:space="preserve">41.3 Las direcciones, teléfonos y horarios de atención de las oficinas de enlace legislativo o vinculación/atención ciudadana de cada diputado*.       </t>
  </si>
  <si>
    <r>
      <rPr>
        <sz val="10"/>
        <color theme="1"/>
        <rFont val="Arial"/>
      </rPr>
      <t xml:space="preserve">42.- El Poder Legislativo local tiene a la vista de toda persona en formato abierto, accesible y electrónico información </t>
    </r>
    <r>
      <rPr>
        <b/>
        <u/>
        <sz val="10"/>
        <color theme="1"/>
        <rFont val="Arial"/>
      </rPr>
      <t>traducida a la lengua indígena de mayor habla en el estado</t>
    </r>
    <r>
      <rPr>
        <sz val="10"/>
        <color theme="1"/>
        <rFont val="Arial"/>
      </rPr>
      <t xml:space="preserve"> y actualizada al menos al trimestre inmediato anterior de vigencia, sobre lo siguiente:</t>
    </r>
  </si>
  <si>
    <t xml:space="preserve">42.1 Directorio de los grupos legislativos y diputadas y diputados independientes (en caso de haberlos)  </t>
  </si>
  <si>
    <t>42.2 Orden del día para cada sesión del Congreso.</t>
  </si>
  <si>
    <t>42.3 Integración de cada una de las Comisiones legislativas ordinarias y extraordinarias</t>
  </si>
  <si>
    <t>42.4 Legislación estatal que impacta directamente a los grupos indígenas existentes en el estado.</t>
  </si>
  <si>
    <t xml:space="preserve">42.5 Presupuesto anual del Congreso </t>
  </si>
  <si>
    <t>42.6 Oficina y nombre de responsables de atención a grupos indígenas</t>
  </si>
  <si>
    <t>ACCESO A INFORMACIÓN</t>
  </si>
  <si>
    <r>
      <rPr>
        <sz val="10"/>
        <color theme="1"/>
        <rFont val="Arial"/>
      </rPr>
      <t>43. El Poder Legislativo local tiene a la vista de toda persona en formato abierto, accesible y electrónico información sobre el</t>
    </r>
    <r>
      <rPr>
        <b/>
        <u/>
        <sz val="10"/>
        <color theme="1"/>
        <rFont val="Arial"/>
      </rPr>
      <t xml:space="preserve"> Comité de Transparencia y la Unidad de Transparencia</t>
    </r>
    <r>
      <rPr>
        <sz val="10"/>
        <color theme="1"/>
        <rFont val="Arial"/>
      </rPr>
      <t xml:space="preserve"> y está actualizada al menos al trimestre inmediato anterior de vigencia:</t>
    </r>
  </si>
  <si>
    <t xml:space="preserve">43.1 Nombre del titular de la Unidad de Transparencia, ubicación al interior de la sede legislativa, teléfono y extensión, así como horario de atención.   </t>
  </si>
  <si>
    <t xml:space="preserve">43.2 Nombre de los integrantes del Comité de Transparencia, cargo, teléfono y extensión, así como horario de atención.   </t>
  </si>
  <si>
    <t xml:space="preserve">43.3 Un sistema electrónico en la página de internet a través del cual, se puedan realizar y contestar solicitudes de información pública o hacer notificaciones al ciudadano sobre el procedimiento de su solicitud.         </t>
  </si>
  <si>
    <t>43.4 Un sistema de archivo y gestión documental</t>
  </si>
  <si>
    <t xml:space="preserve">43.5 Procedimientos para acceso a la información incluyendo costo </t>
  </si>
  <si>
    <t>43.6 Procedimientos de impugnación o inconformidad</t>
  </si>
  <si>
    <t>43.7 Descripción de sanciones por negar o incumplir con la ley</t>
  </si>
  <si>
    <r>
      <rPr>
        <sz val="10"/>
        <color theme="1"/>
        <rFont val="Arial"/>
      </rPr>
      <t xml:space="preserve">44. El Poder Legislativo local tiene a la vista de toda persona en formato abierto, accesible y electrónico el </t>
    </r>
    <r>
      <rPr>
        <b/>
        <u/>
        <sz val="10"/>
        <color theme="1"/>
        <rFont val="Arial"/>
      </rPr>
      <t>reglamento interno o lineamientos de transparencia proactiva y de acceso a la información pública</t>
    </r>
    <r>
      <rPr>
        <sz val="10"/>
        <color theme="1"/>
        <rFont val="Arial"/>
      </rPr>
      <t xml:space="preserve"> y está actualizada al menos al trimestre inmediato anterior de vigencia:</t>
    </r>
  </si>
  <si>
    <t>44.1 Existe reglamento o lineamientos</t>
  </si>
  <si>
    <t xml:space="preserve">44.2 Obliga a la actualización al menos trimestral de la información contenida en la página de internet del Poder Legislativo. </t>
  </si>
  <si>
    <t>44.3 Existen procedimientos que garantizan la seguridad de los datos personales y eviten su alteración, pérdida, transmisión y acceso no autorizado.</t>
  </si>
  <si>
    <r>
      <rPr>
        <sz val="10"/>
        <color theme="1"/>
        <rFont val="Arial"/>
      </rPr>
      <t xml:space="preserve">45. El Poder Legislativo local tiene a la vista de toda persona en formato abierto, accesible y electrónico información sobre la </t>
    </r>
    <r>
      <rPr>
        <b/>
        <u/>
        <sz val="10"/>
        <color theme="1"/>
        <rFont val="Arial"/>
      </rPr>
      <t>numeralia o estadística de las solicitudes de acceso a la información pública</t>
    </r>
    <r>
      <rPr>
        <sz val="10"/>
        <color theme="1"/>
        <rFont val="Arial"/>
      </rPr>
      <t xml:space="preserve"> y está actualizada al menos al trimestre inmediato anterior de vigencia:</t>
    </r>
  </si>
  <si>
    <t xml:space="preserve">45.1 El número total de solicitudes de acceso a la información que recibe cada mes.  </t>
  </si>
  <si>
    <t xml:space="preserve">45.2 El número de solicitudes a las que se les otorgó la información requerida y el número de solicitudes a las que se les negó (ambas por mes). </t>
  </si>
  <si>
    <t xml:space="preserve">45.3 El número de juicios de revisión promovidos por los ciudadanos contra el Poder Legislativo y sus respectivas resoluciones por el órgano garante. </t>
  </si>
  <si>
    <t>45.4 Se publica la “prueba de daño” en los casos donde se clasifica información como reservada</t>
  </si>
  <si>
    <t xml:space="preserve">45.5 Se publica un informe semestral de transparencia y acceso a la información.  </t>
  </si>
  <si>
    <t>45.6 Hay listado de preguntas más frecuentes con sus respectivas respuestas</t>
  </si>
  <si>
    <t>Total de puntos</t>
  </si>
  <si>
    <t>Calificación final</t>
  </si>
  <si>
    <t>RESULTADO POR BLOQUES</t>
  </si>
  <si>
    <t>Integración y estructura</t>
  </si>
  <si>
    <t>Desempeño Legislativo</t>
  </si>
  <si>
    <t>Documentación legislativa</t>
  </si>
  <si>
    <t>Gastos</t>
  </si>
  <si>
    <t>Administración</t>
  </si>
  <si>
    <t>Control interno</t>
  </si>
  <si>
    <t>Vinculación ciudadana</t>
  </si>
  <si>
    <t>Acceso a información pública</t>
  </si>
  <si>
    <t>Nota; completada la tabla de calificación deberá remitirla a jvillasana@icmaml.org y jnetzahuatl@gmail.com de CIMTRA para su revisión</t>
  </si>
  <si>
    <t>CAMPO</t>
  </si>
  <si>
    <t>INFORMACION A LA CIUDADANIA</t>
  </si>
  <si>
    <t>ESPACIOS DE COMUNICACIÓN LEGISLATURA - SOCIEDAD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</si>
</sst>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24" x14ac:knownFonts="1">
    <font>
      <sz val="12"/>
      <color theme="1"/>
      <name val="Calibri"/>
      <scheme val="minor"/>
    </font>
    <font>
      <sz val="22"/>
      <color theme="1"/>
      <name val="Arial"/>
    </font>
    <font>
      <b/>
      <sz val="12"/>
      <color theme="1"/>
      <name val="Arial"/>
    </font>
    <font>
      <sz val="12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sz val="12"/>
      <color theme="1"/>
      <name val="Calibri"/>
    </font>
    <font>
      <sz val="12"/>
      <color rgb="FFCC3300"/>
      <name val="Arial"/>
    </font>
    <font>
      <b/>
      <sz val="14"/>
      <color theme="1"/>
      <name val="Arial"/>
    </font>
    <font>
      <sz val="12"/>
      <name val="Calibri"/>
    </font>
    <font>
      <sz val="11"/>
      <color theme="1"/>
      <name val="Arial"/>
    </font>
    <font>
      <b/>
      <sz val="16"/>
      <color theme="1"/>
      <name val="Arial"/>
    </font>
    <font>
      <b/>
      <sz val="16"/>
      <color rgb="FFCC3300"/>
      <name val="Arial"/>
    </font>
    <font>
      <b/>
      <sz val="12"/>
      <color rgb="FFCC3300"/>
      <name val="Arial"/>
    </font>
    <font>
      <b/>
      <sz val="11"/>
      <color rgb="FFFF0000"/>
      <name val="Arial"/>
    </font>
    <font>
      <sz val="22"/>
      <color theme="1"/>
      <name val="Calibri"/>
    </font>
    <font>
      <sz val="10"/>
      <color theme="1"/>
      <name val="Calibri"/>
    </font>
    <font>
      <b/>
      <sz val="12"/>
      <color theme="1"/>
      <name val="Calibri"/>
    </font>
    <font>
      <b/>
      <u/>
      <sz val="10"/>
      <color theme="1"/>
      <name val="Arial"/>
    </font>
    <font>
      <b/>
      <u/>
      <sz val="10"/>
      <color rgb="FF000000"/>
      <name val="Arial"/>
    </font>
    <font>
      <sz val="10"/>
      <color rgb="FF000000"/>
      <name val="Arial"/>
    </font>
    <font>
      <i/>
      <sz val="10"/>
      <color theme="1"/>
      <name val="Arial"/>
    </font>
    <font>
      <u/>
      <sz val="10"/>
      <color rgb="FF000000"/>
      <name val="Arial"/>
    </font>
    <font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DD9C3"/>
        <bgColor rgb="FFDDD9C3"/>
      </patternFill>
    </fill>
    <fill>
      <patternFill patternType="solid">
        <fgColor rgb="FFCCFFCC"/>
        <bgColor rgb="FFCCFFCC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FBD4B4"/>
        <bgColor rgb="FFFBD4B4"/>
      </patternFill>
    </fill>
    <fill>
      <patternFill patternType="solid">
        <fgColor rgb="FFFABF8F"/>
        <bgColor rgb="FFFABF8F"/>
      </patternFill>
    </fill>
    <fill>
      <patternFill patternType="solid">
        <fgColor theme="0"/>
        <bgColor theme="0"/>
      </patternFill>
    </fill>
    <fill>
      <patternFill patternType="solid">
        <fgColor rgb="FFD6E3BC"/>
        <bgColor rgb="FFD6E3BC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67">
    <xf numFmtId="0" fontId="0" fillId="0" borderId="0" xfId="0" applyFont="1" applyAlignment="1"/>
    <xf numFmtId="0" fontId="5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6" fillId="0" borderId="0" xfId="0" applyFont="1"/>
    <xf numFmtId="0" fontId="8" fillId="3" borderId="2" xfId="0" applyFont="1" applyFill="1" applyBorder="1" applyAlignment="1">
      <alignment horizontal="center" vertical="center" textRotation="90" wrapText="1"/>
    </xf>
    <xf numFmtId="0" fontId="8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textRotation="90" wrapText="1"/>
    </xf>
    <xf numFmtId="0" fontId="7" fillId="2" borderId="2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5" borderId="2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164" fontId="3" fillId="5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wrapText="1"/>
    </xf>
    <xf numFmtId="0" fontId="5" fillId="6" borderId="2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center" vertical="center" textRotation="255"/>
    </xf>
    <xf numFmtId="0" fontId="1" fillId="5" borderId="2" xfId="0" applyFont="1" applyFill="1" applyBorder="1"/>
    <xf numFmtId="0" fontId="3" fillId="5" borderId="2" xfId="0" applyFont="1" applyFill="1" applyBorder="1"/>
    <xf numFmtId="0" fontId="3" fillId="5" borderId="2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4" fillId="5" borderId="2" xfId="0" applyFont="1" applyFill="1" applyBorder="1" applyAlignment="1">
      <alignment horizontal="left" vertical="center" wrapText="1"/>
    </xf>
    <xf numFmtId="0" fontId="6" fillId="8" borderId="1" xfId="0" applyFont="1" applyFill="1" applyBorder="1"/>
    <xf numFmtId="0" fontId="1" fillId="0" borderId="0" xfId="0" applyFont="1"/>
    <xf numFmtId="0" fontId="7" fillId="0" borderId="0" xfId="0" applyFont="1" applyAlignment="1">
      <alignment horizontal="center"/>
    </xf>
    <xf numFmtId="0" fontId="1" fillId="9" borderId="1" xfId="0" applyFont="1" applyFill="1" applyBorder="1"/>
    <xf numFmtId="0" fontId="5" fillId="9" borderId="1" xfId="0" applyFont="1" applyFill="1" applyBorder="1" applyAlignment="1">
      <alignment horizontal="right"/>
    </xf>
    <xf numFmtId="0" fontId="3" fillId="9" borderId="1" xfId="0" applyFont="1" applyFill="1" applyBorder="1" applyAlignment="1">
      <alignment horizontal="center"/>
    </xf>
    <xf numFmtId="0" fontId="11" fillId="9" borderId="1" xfId="0" applyFont="1" applyFill="1" applyBorder="1" applyAlignment="1">
      <alignment horizontal="right" vertical="center" wrapText="1"/>
    </xf>
    <xf numFmtId="164" fontId="11" fillId="9" borderId="1" xfId="0" applyNumberFormat="1" applyFont="1" applyFill="1" applyBorder="1" applyAlignment="1">
      <alignment horizontal="center"/>
    </xf>
    <xf numFmtId="0" fontId="11" fillId="0" borderId="0" xfId="0" applyFont="1" applyAlignment="1">
      <alignment horizontal="right" vertical="center" wrapText="1"/>
    </xf>
    <xf numFmtId="10" fontId="12" fillId="0" borderId="0" xfId="0" applyNumberFormat="1" applyFont="1" applyAlignment="1">
      <alignment horizontal="center"/>
    </xf>
    <xf numFmtId="0" fontId="11" fillId="0" borderId="7" xfId="0" applyFont="1" applyBorder="1" applyAlignment="1">
      <alignment horizontal="right" vertical="center" wrapText="1"/>
    </xf>
    <xf numFmtId="0" fontId="11" fillId="0" borderId="0" xfId="0" applyFont="1" applyAlignment="1">
      <alignment horizontal="center" vertical="center" wrapText="1"/>
    </xf>
    <xf numFmtId="0" fontId="2" fillId="0" borderId="7" xfId="0" applyFont="1" applyBorder="1" applyAlignment="1">
      <alignment horizontal="right" vertical="center" wrapText="1"/>
    </xf>
    <xf numFmtId="164" fontId="2" fillId="0" borderId="0" xfId="0" applyNumberFormat="1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right" vertical="center" wrapText="1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23" fillId="0" borderId="9" xfId="0" applyFont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 wrapText="1"/>
    </xf>
    <xf numFmtId="0" fontId="5" fillId="7" borderId="3" xfId="0" applyFont="1" applyFill="1" applyBorder="1" applyAlignment="1">
      <alignment horizontal="left" vertical="center" wrapText="1"/>
    </xf>
    <xf numFmtId="0" fontId="9" fillId="0" borderId="4" xfId="0" applyFont="1" applyBorder="1"/>
    <xf numFmtId="0" fontId="9" fillId="0" borderId="5" xfId="0" applyFont="1" applyBorder="1"/>
    <xf numFmtId="0" fontId="5" fillId="4" borderId="3" xfId="0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left" vertical="center" wrapText="1"/>
    </xf>
    <xf numFmtId="0" fontId="1" fillId="6" borderId="3" xfId="0" applyFont="1" applyFill="1" applyBorder="1" applyAlignment="1">
      <alignment horizontal="center" vertical="center" textRotation="90" wrapText="1"/>
    </xf>
    <xf numFmtId="0" fontId="1" fillId="4" borderId="3" xfId="0" applyFont="1" applyFill="1" applyBorder="1" applyAlignment="1">
      <alignment horizontal="center" vertical="center" textRotation="90" wrapText="1"/>
    </xf>
    <xf numFmtId="0" fontId="1" fillId="7" borderId="3" xfId="0" applyFont="1" applyFill="1" applyBorder="1" applyAlignment="1">
      <alignment horizontal="center" vertical="center" textRotation="90" wrapText="1"/>
    </xf>
    <xf numFmtId="0" fontId="1" fillId="4" borderId="3" xfId="0" applyFont="1" applyFill="1" applyBorder="1" applyAlignment="1">
      <alignment horizontal="center" vertical="center" textRotation="90"/>
    </xf>
    <xf numFmtId="0" fontId="5" fillId="4" borderId="3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horizontal="left" vertical="center"/>
    </xf>
    <xf numFmtId="0" fontId="5" fillId="6" borderId="3" xfId="0" applyFont="1" applyFill="1" applyBorder="1" applyAlignment="1">
      <alignment horizontal="left" vertical="center"/>
    </xf>
    <xf numFmtId="0" fontId="9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92"/>
  <sheetViews>
    <sheetView tabSelected="1" topLeftCell="A239" workbookViewId="0">
      <selection activeCell="D246" sqref="D246"/>
    </sheetView>
  </sheetViews>
  <sheetFormatPr baseColWidth="10" defaultColWidth="11.25" defaultRowHeight="15" customHeight="1" x14ac:dyDescent="0.25"/>
  <cols>
    <col min="2" max="2" width="10.875" customWidth="1"/>
    <col min="3" max="3" width="60.5" customWidth="1"/>
    <col min="4" max="4" width="7.875" customWidth="1"/>
    <col min="5" max="5" width="75.375" customWidth="1"/>
    <col min="6" max="7" width="11" customWidth="1"/>
    <col min="8" max="27" width="10.5" customWidth="1"/>
  </cols>
  <sheetData>
    <row r="1" spans="1:9" ht="97.5" customHeight="1" thickBot="1" x14ac:dyDescent="0.3">
      <c r="A1" s="6" t="s">
        <v>307</v>
      </c>
      <c r="B1" s="6" t="s">
        <v>0</v>
      </c>
      <c r="C1" s="7" t="s">
        <v>1</v>
      </c>
      <c r="D1" s="8" t="s">
        <v>2</v>
      </c>
      <c r="E1" s="7" t="s">
        <v>3</v>
      </c>
      <c r="F1" s="7"/>
      <c r="G1" s="9" t="s">
        <v>4</v>
      </c>
      <c r="H1" s="10"/>
      <c r="I1" s="10"/>
    </row>
    <row r="2" spans="1:9" ht="30.75" customHeight="1" thickBot="1" x14ac:dyDescent="0.3">
      <c r="A2" s="53" t="s">
        <v>308</v>
      </c>
      <c r="B2" s="62" t="s">
        <v>5</v>
      </c>
      <c r="C2" s="63" t="s">
        <v>6</v>
      </c>
      <c r="D2" s="11">
        <v>1</v>
      </c>
      <c r="E2" s="12" t="s">
        <v>7</v>
      </c>
      <c r="F2" s="12"/>
      <c r="G2" s="13">
        <v>1</v>
      </c>
      <c r="H2" s="5"/>
    </row>
    <row r="3" spans="1:9" ht="28.5" customHeight="1" thickBot="1" x14ac:dyDescent="0.3">
      <c r="A3" s="51"/>
      <c r="B3" s="55"/>
      <c r="C3" s="55"/>
      <c r="D3" s="11">
        <v>1</v>
      </c>
      <c r="E3" s="12" t="s">
        <v>8</v>
      </c>
      <c r="F3" s="12"/>
      <c r="G3" s="13">
        <v>1</v>
      </c>
      <c r="H3" s="5"/>
    </row>
    <row r="4" spans="1:9" ht="28.5" customHeight="1" thickBot="1" x14ac:dyDescent="0.3">
      <c r="A4" s="51"/>
      <c r="B4" s="55"/>
      <c r="C4" s="55"/>
      <c r="D4" s="14">
        <v>1</v>
      </c>
      <c r="E4" s="12" t="s">
        <v>9</v>
      </c>
      <c r="F4" s="12"/>
      <c r="G4" s="13">
        <v>0</v>
      </c>
      <c r="H4" s="5"/>
    </row>
    <row r="5" spans="1:9" ht="28.5" customHeight="1" thickBot="1" x14ac:dyDescent="0.3">
      <c r="A5" s="51"/>
      <c r="B5" s="55"/>
      <c r="C5" s="55"/>
      <c r="D5" s="11">
        <v>1</v>
      </c>
      <c r="E5" s="15" t="s">
        <v>10</v>
      </c>
      <c r="F5" s="15"/>
      <c r="G5" s="13">
        <v>1</v>
      </c>
      <c r="H5" s="5"/>
    </row>
    <row r="6" spans="1:9" ht="28.5" customHeight="1" thickBot="1" x14ac:dyDescent="0.3">
      <c r="A6" s="51"/>
      <c r="B6" s="55"/>
      <c r="C6" s="56"/>
      <c r="D6" s="11">
        <v>1</v>
      </c>
      <c r="E6" s="15" t="s">
        <v>11</v>
      </c>
      <c r="F6" s="15"/>
      <c r="G6" s="13">
        <v>1</v>
      </c>
      <c r="H6" s="5"/>
    </row>
    <row r="7" spans="1:9" ht="28.5" customHeight="1" thickBot="1" x14ac:dyDescent="0.3">
      <c r="A7" s="51"/>
      <c r="B7" s="55"/>
      <c r="C7" s="63" t="s">
        <v>12</v>
      </c>
      <c r="D7" s="11">
        <v>1</v>
      </c>
      <c r="E7" s="12" t="s">
        <v>13</v>
      </c>
      <c r="F7" s="12"/>
      <c r="G7" s="13">
        <v>1</v>
      </c>
      <c r="H7" s="5"/>
    </row>
    <row r="8" spans="1:9" ht="28.5" customHeight="1" thickBot="1" x14ac:dyDescent="0.3">
      <c r="A8" s="51"/>
      <c r="B8" s="55"/>
      <c r="C8" s="55"/>
      <c r="D8" s="11">
        <v>1</v>
      </c>
      <c r="E8" s="12" t="s">
        <v>14</v>
      </c>
      <c r="F8" s="12"/>
      <c r="G8" s="13">
        <v>1</v>
      </c>
      <c r="H8" s="5"/>
    </row>
    <row r="9" spans="1:9" ht="28.5" customHeight="1" thickBot="1" x14ac:dyDescent="0.3">
      <c r="A9" s="51"/>
      <c r="B9" s="55"/>
      <c r="C9" s="56"/>
      <c r="D9" s="11">
        <v>1</v>
      </c>
      <c r="E9" s="12" t="s">
        <v>15</v>
      </c>
      <c r="F9" s="12"/>
      <c r="G9" s="13">
        <v>0</v>
      </c>
      <c r="H9" s="5"/>
    </row>
    <row r="10" spans="1:9" ht="15.75" customHeight="1" thickBot="1" x14ac:dyDescent="0.3">
      <c r="A10" s="51"/>
      <c r="B10" s="55"/>
      <c r="C10" s="63" t="s">
        <v>16</v>
      </c>
      <c r="D10" s="11">
        <v>1</v>
      </c>
      <c r="E10" s="12" t="s">
        <v>17</v>
      </c>
      <c r="F10" s="12"/>
      <c r="G10" s="13">
        <v>0</v>
      </c>
      <c r="H10" s="5"/>
    </row>
    <row r="11" spans="1:9" ht="28.5" customHeight="1" thickBot="1" x14ac:dyDescent="0.3">
      <c r="A11" s="51"/>
      <c r="B11" s="55"/>
      <c r="C11" s="55"/>
      <c r="D11" s="11">
        <v>1</v>
      </c>
      <c r="E11" s="12" t="s">
        <v>18</v>
      </c>
      <c r="F11" s="12"/>
      <c r="G11" s="13">
        <v>0</v>
      </c>
      <c r="H11" s="5"/>
    </row>
    <row r="12" spans="1:9" ht="28.5" customHeight="1" thickBot="1" x14ac:dyDescent="0.3">
      <c r="A12" s="51"/>
      <c r="B12" s="55"/>
      <c r="C12" s="55"/>
      <c r="D12" s="11">
        <v>1</v>
      </c>
      <c r="E12" s="12" t="s">
        <v>19</v>
      </c>
      <c r="F12" s="12"/>
      <c r="G12" s="13">
        <v>1</v>
      </c>
      <c r="H12" s="5"/>
    </row>
    <row r="13" spans="1:9" ht="28.5" customHeight="1" thickBot="1" x14ac:dyDescent="0.3">
      <c r="A13" s="51"/>
      <c r="B13" s="55"/>
      <c r="C13" s="55"/>
      <c r="D13" s="11">
        <v>1</v>
      </c>
      <c r="E13" s="12" t="s">
        <v>20</v>
      </c>
      <c r="F13" s="12"/>
      <c r="G13" s="13">
        <v>1</v>
      </c>
      <c r="H13" s="5"/>
    </row>
    <row r="14" spans="1:9" ht="28.5" customHeight="1" thickBot="1" x14ac:dyDescent="0.3">
      <c r="A14" s="51"/>
      <c r="B14" s="55"/>
      <c r="C14" s="55"/>
      <c r="D14" s="11">
        <v>1</v>
      </c>
      <c r="E14" s="12" t="s">
        <v>21</v>
      </c>
      <c r="F14" s="12"/>
      <c r="G14" s="13">
        <v>0</v>
      </c>
      <c r="H14" s="5"/>
    </row>
    <row r="15" spans="1:9" ht="28.5" customHeight="1" thickBot="1" x14ac:dyDescent="0.3">
      <c r="A15" s="51"/>
      <c r="B15" s="55"/>
      <c r="C15" s="55"/>
      <c r="D15" s="11">
        <v>1</v>
      </c>
      <c r="E15" s="12" t="s">
        <v>22</v>
      </c>
      <c r="F15" s="12"/>
      <c r="G15" s="13">
        <v>1</v>
      </c>
      <c r="H15" s="5"/>
    </row>
    <row r="16" spans="1:9" ht="28.5" customHeight="1" thickBot="1" x14ac:dyDescent="0.3">
      <c r="A16" s="51"/>
      <c r="B16" s="55"/>
      <c r="C16" s="56"/>
      <c r="D16" s="11">
        <v>1</v>
      </c>
      <c r="E16" s="12" t="s">
        <v>23</v>
      </c>
      <c r="F16" s="12"/>
      <c r="G16" s="13">
        <v>1</v>
      </c>
      <c r="H16" s="5"/>
    </row>
    <row r="17" spans="1:8" ht="28.5" customHeight="1" thickBot="1" x14ac:dyDescent="0.3">
      <c r="A17" s="51"/>
      <c r="B17" s="55"/>
      <c r="C17" s="64" t="s">
        <v>24</v>
      </c>
      <c r="D17" s="11">
        <v>1</v>
      </c>
      <c r="E17" s="15" t="s">
        <v>25</v>
      </c>
      <c r="F17" s="15"/>
      <c r="G17" s="13">
        <v>0</v>
      </c>
      <c r="H17" s="5"/>
    </row>
    <row r="18" spans="1:8" ht="28.5" customHeight="1" thickBot="1" x14ac:dyDescent="0.3">
      <c r="A18" s="51"/>
      <c r="B18" s="55"/>
      <c r="C18" s="55"/>
      <c r="D18" s="11">
        <v>1</v>
      </c>
      <c r="E18" s="15" t="s">
        <v>26</v>
      </c>
      <c r="F18" s="15"/>
      <c r="G18" s="13">
        <v>0</v>
      </c>
      <c r="H18" s="5"/>
    </row>
    <row r="19" spans="1:8" ht="28.5" customHeight="1" thickBot="1" x14ac:dyDescent="0.3">
      <c r="A19" s="51"/>
      <c r="B19" s="55"/>
      <c r="C19" s="55"/>
      <c r="D19" s="11">
        <v>1</v>
      </c>
      <c r="E19" s="15" t="s">
        <v>27</v>
      </c>
      <c r="F19" s="15"/>
      <c r="G19" s="13">
        <v>0</v>
      </c>
      <c r="H19" s="5"/>
    </row>
    <row r="20" spans="1:8" ht="28.5" customHeight="1" thickBot="1" x14ac:dyDescent="0.3">
      <c r="A20" s="51"/>
      <c r="B20" s="55"/>
      <c r="C20" s="55"/>
      <c r="D20" s="11">
        <v>1</v>
      </c>
      <c r="E20" s="15" t="s">
        <v>28</v>
      </c>
      <c r="F20" s="15"/>
      <c r="G20" s="13">
        <v>1</v>
      </c>
      <c r="H20" s="5"/>
    </row>
    <row r="21" spans="1:8" ht="28.5" customHeight="1" thickBot="1" x14ac:dyDescent="0.3">
      <c r="A21" s="51"/>
      <c r="B21" s="55"/>
      <c r="C21" s="55"/>
      <c r="D21" s="11">
        <v>1</v>
      </c>
      <c r="E21" s="15" t="s">
        <v>29</v>
      </c>
      <c r="F21" s="15"/>
      <c r="G21" s="13">
        <v>0</v>
      </c>
      <c r="H21" s="5"/>
    </row>
    <row r="22" spans="1:8" ht="28.5" customHeight="1" thickBot="1" x14ac:dyDescent="0.3">
      <c r="A22" s="51"/>
      <c r="B22" s="55"/>
      <c r="C22" s="56"/>
      <c r="D22" s="11">
        <v>1</v>
      </c>
      <c r="E22" s="15" t="s">
        <v>30</v>
      </c>
      <c r="F22" s="15"/>
      <c r="G22" s="13">
        <v>1</v>
      </c>
      <c r="H22" s="5"/>
    </row>
    <row r="23" spans="1:8" ht="28.5" customHeight="1" thickBot="1" x14ac:dyDescent="0.3">
      <c r="A23" s="51"/>
      <c r="B23" s="56"/>
      <c r="C23" s="16"/>
      <c r="D23" s="17"/>
      <c r="E23" s="18"/>
      <c r="F23" s="19">
        <f t="shared" ref="F23:G23" si="0">((SUM(F2:F22))/21)</f>
        <v>0</v>
      </c>
      <c r="G23" s="19">
        <f t="shared" si="0"/>
        <v>0.5714285714285714</v>
      </c>
      <c r="H23" s="5"/>
    </row>
    <row r="24" spans="1:8" ht="28.5" customHeight="1" thickBot="1" x14ac:dyDescent="0.3">
      <c r="A24" s="51"/>
      <c r="B24" s="59" t="s">
        <v>31</v>
      </c>
      <c r="C24" s="65" t="s">
        <v>32</v>
      </c>
      <c r="D24" s="11">
        <v>1</v>
      </c>
      <c r="E24" s="15" t="s">
        <v>33</v>
      </c>
      <c r="F24" s="15"/>
      <c r="G24" s="13">
        <v>0</v>
      </c>
    </row>
    <row r="25" spans="1:8" ht="28.5" customHeight="1" thickBot="1" x14ac:dyDescent="0.3">
      <c r="A25" s="51"/>
      <c r="B25" s="55"/>
      <c r="C25" s="55"/>
      <c r="D25" s="11">
        <v>1</v>
      </c>
      <c r="E25" s="15" t="s">
        <v>34</v>
      </c>
      <c r="F25" s="15"/>
      <c r="G25" s="13">
        <v>1</v>
      </c>
    </row>
    <row r="26" spans="1:8" ht="28.5" customHeight="1" thickBot="1" x14ac:dyDescent="0.3">
      <c r="A26" s="51"/>
      <c r="B26" s="55"/>
      <c r="C26" s="55"/>
      <c r="D26" s="11">
        <v>1</v>
      </c>
      <c r="E26" s="15" t="s">
        <v>35</v>
      </c>
      <c r="F26" s="15"/>
      <c r="G26" s="13">
        <v>0</v>
      </c>
    </row>
    <row r="27" spans="1:8" ht="28.5" customHeight="1" thickBot="1" x14ac:dyDescent="0.3">
      <c r="A27" s="51"/>
      <c r="B27" s="55"/>
      <c r="C27" s="55"/>
      <c r="D27" s="11">
        <v>1</v>
      </c>
      <c r="E27" s="15" t="s">
        <v>36</v>
      </c>
      <c r="F27" s="15"/>
      <c r="G27" s="13">
        <v>0</v>
      </c>
    </row>
    <row r="28" spans="1:8" ht="28.5" customHeight="1" thickBot="1" x14ac:dyDescent="0.3">
      <c r="A28" s="51"/>
      <c r="B28" s="55"/>
      <c r="C28" s="55"/>
      <c r="D28" s="11">
        <v>1</v>
      </c>
      <c r="E28" s="15" t="s">
        <v>37</v>
      </c>
      <c r="F28" s="15"/>
      <c r="G28" s="13">
        <v>0</v>
      </c>
    </row>
    <row r="29" spans="1:8" ht="28.5" customHeight="1" thickBot="1" x14ac:dyDescent="0.3">
      <c r="A29" s="51"/>
      <c r="B29" s="55"/>
      <c r="C29" s="55"/>
      <c r="D29" s="11">
        <v>1</v>
      </c>
      <c r="E29" s="15" t="s">
        <v>38</v>
      </c>
      <c r="F29" s="15"/>
      <c r="G29" s="13">
        <v>0</v>
      </c>
    </row>
    <row r="30" spans="1:8" ht="28.5" customHeight="1" thickBot="1" x14ac:dyDescent="0.3">
      <c r="A30" s="51"/>
      <c r="B30" s="55"/>
      <c r="C30" s="55"/>
      <c r="D30" s="11">
        <v>1</v>
      </c>
      <c r="E30" s="15" t="s">
        <v>39</v>
      </c>
      <c r="F30" s="15"/>
      <c r="G30" s="13">
        <v>0</v>
      </c>
    </row>
    <row r="31" spans="1:8" ht="28.5" customHeight="1" thickBot="1" x14ac:dyDescent="0.3">
      <c r="A31" s="51"/>
      <c r="B31" s="55"/>
      <c r="C31" s="56"/>
      <c r="D31" s="11">
        <v>1</v>
      </c>
      <c r="E31" s="15" t="s">
        <v>40</v>
      </c>
      <c r="F31" s="15"/>
      <c r="G31" s="13">
        <v>1</v>
      </c>
    </row>
    <row r="32" spans="1:8" ht="28.5" customHeight="1" thickBot="1" x14ac:dyDescent="0.3">
      <c r="A32" s="51"/>
      <c r="B32" s="55"/>
      <c r="C32" s="58" t="s">
        <v>41</v>
      </c>
      <c r="D32" s="11">
        <v>1</v>
      </c>
      <c r="E32" s="12" t="s">
        <v>42</v>
      </c>
      <c r="F32" s="12"/>
      <c r="G32" s="13">
        <v>0</v>
      </c>
    </row>
    <row r="33" spans="1:7" ht="28.5" customHeight="1" thickBot="1" x14ac:dyDescent="0.3">
      <c r="A33" s="51"/>
      <c r="B33" s="55"/>
      <c r="C33" s="55"/>
      <c r="D33" s="11">
        <v>1</v>
      </c>
      <c r="E33" s="12" t="s">
        <v>43</v>
      </c>
      <c r="F33" s="12"/>
      <c r="G33" s="13">
        <v>1</v>
      </c>
    </row>
    <row r="34" spans="1:7" ht="28.5" customHeight="1" thickBot="1" x14ac:dyDescent="0.3">
      <c r="A34" s="51"/>
      <c r="B34" s="55"/>
      <c r="C34" s="55"/>
      <c r="D34" s="11">
        <v>1</v>
      </c>
      <c r="E34" s="12" t="s">
        <v>44</v>
      </c>
      <c r="F34" s="12"/>
      <c r="G34" s="13">
        <v>0</v>
      </c>
    </row>
    <row r="35" spans="1:7" ht="28.5" customHeight="1" thickBot="1" x14ac:dyDescent="0.3">
      <c r="A35" s="51"/>
      <c r="B35" s="55"/>
      <c r="C35" s="55"/>
      <c r="D35" s="11">
        <v>1</v>
      </c>
      <c r="E35" s="12" t="s">
        <v>45</v>
      </c>
      <c r="F35" s="12"/>
      <c r="G35" s="13">
        <v>0</v>
      </c>
    </row>
    <row r="36" spans="1:7" ht="28.5" customHeight="1" thickBot="1" x14ac:dyDescent="0.3">
      <c r="A36" s="51"/>
      <c r="B36" s="55"/>
      <c r="C36" s="56"/>
      <c r="D36" s="11">
        <v>1</v>
      </c>
      <c r="E36" s="12" t="s">
        <v>46</v>
      </c>
      <c r="F36" s="12"/>
      <c r="G36" s="13">
        <v>0</v>
      </c>
    </row>
    <row r="37" spans="1:7" ht="24.75" customHeight="1" thickBot="1" x14ac:dyDescent="0.3">
      <c r="A37" s="51"/>
      <c r="B37" s="55"/>
      <c r="C37" s="58" t="s">
        <v>47</v>
      </c>
      <c r="D37" s="11">
        <v>1</v>
      </c>
      <c r="E37" s="15" t="s">
        <v>48</v>
      </c>
      <c r="F37" s="15"/>
      <c r="G37" s="13">
        <v>1</v>
      </c>
    </row>
    <row r="38" spans="1:7" ht="28.5" customHeight="1" thickBot="1" x14ac:dyDescent="0.3">
      <c r="A38" s="51"/>
      <c r="B38" s="55"/>
      <c r="C38" s="55"/>
      <c r="D38" s="11">
        <v>1</v>
      </c>
      <c r="E38" s="15" t="s">
        <v>49</v>
      </c>
      <c r="F38" s="15"/>
      <c r="G38" s="13">
        <v>0</v>
      </c>
    </row>
    <row r="39" spans="1:7" ht="28.5" customHeight="1" thickBot="1" x14ac:dyDescent="0.3">
      <c r="A39" s="51"/>
      <c r="B39" s="55"/>
      <c r="C39" s="55"/>
      <c r="D39" s="11">
        <v>1</v>
      </c>
      <c r="E39" s="15" t="s">
        <v>50</v>
      </c>
      <c r="F39" s="15"/>
      <c r="G39" s="13">
        <v>0</v>
      </c>
    </row>
    <row r="40" spans="1:7" ht="28.5" customHeight="1" thickBot="1" x14ac:dyDescent="0.3">
      <c r="A40" s="51"/>
      <c r="B40" s="55"/>
      <c r="C40" s="55"/>
      <c r="D40" s="11">
        <v>1</v>
      </c>
      <c r="E40" s="15" t="s">
        <v>51</v>
      </c>
      <c r="F40" s="15"/>
      <c r="G40" s="13">
        <v>0</v>
      </c>
    </row>
    <row r="41" spans="1:7" ht="28.5" customHeight="1" thickBot="1" x14ac:dyDescent="0.3">
      <c r="A41" s="51"/>
      <c r="B41" s="55"/>
      <c r="C41" s="55"/>
      <c r="D41" s="11">
        <v>1</v>
      </c>
      <c r="E41" s="12" t="s">
        <v>52</v>
      </c>
      <c r="F41" s="12"/>
      <c r="G41" s="13">
        <v>0</v>
      </c>
    </row>
    <row r="42" spans="1:7" ht="28.5" customHeight="1" thickBot="1" x14ac:dyDescent="0.3">
      <c r="A42" s="51"/>
      <c r="B42" s="55"/>
      <c r="C42" s="55"/>
      <c r="D42" s="11">
        <v>1</v>
      </c>
      <c r="E42" s="12" t="s">
        <v>53</v>
      </c>
      <c r="F42" s="12"/>
      <c r="G42" s="13">
        <v>0</v>
      </c>
    </row>
    <row r="43" spans="1:7" ht="28.5" customHeight="1" thickBot="1" x14ac:dyDescent="0.3">
      <c r="A43" s="51"/>
      <c r="B43" s="55"/>
      <c r="C43" s="55"/>
      <c r="D43" s="11">
        <v>1</v>
      </c>
      <c r="E43" s="12" t="s">
        <v>54</v>
      </c>
      <c r="F43" s="12"/>
      <c r="G43" s="13">
        <v>0</v>
      </c>
    </row>
    <row r="44" spans="1:7" ht="28.5" customHeight="1" thickBot="1" x14ac:dyDescent="0.3">
      <c r="A44" s="51"/>
      <c r="B44" s="55"/>
      <c r="C44" s="56"/>
      <c r="D44" s="11">
        <v>1</v>
      </c>
      <c r="E44" s="12" t="s">
        <v>55</v>
      </c>
      <c r="F44" s="12"/>
      <c r="G44" s="13">
        <v>0</v>
      </c>
    </row>
    <row r="45" spans="1:7" ht="28.5" customHeight="1" thickBot="1" x14ac:dyDescent="0.3">
      <c r="A45" s="51"/>
      <c r="B45" s="55"/>
      <c r="C45" s="58" t="s">
        <v>56</v>
      </c>
      <c r="D45" s="11">
        <v>1</v>
      </c>
      <c r="E45" s="12" t="s">
        <v>57</v>
      </c>
      <c r="F45" s="12"/>
      <c r="G45" s="13">
        <v>0</v>
      </c>
    </row>
    <row r="46" spans="1:7" ht="28.5" customHeight="1" thickBot="1" x14ac:dyDescent="0.3">
      <c r="A46" s="51"/>
      <c r="B46" s="55"/>
      <c r="C46" s="55"/>
      <c r="D46" s="11">
        <v>1</v>
      </c>
      <c r="E46" s="12" t="s">
        <v>58</v>
      </c>
      <c r="F46" s="12"/>
      <c r="G46" s="13">
        <v>0</v>
      </c>
    </row>
    <row r="47" spans="1:7" ht="28.5" customHeight="1" thickBot="1" x14ac:dyDescent="0.3">
      <c r="A47" s="51"/>
      <c r="B47" s="55"/>
      <c r="C47" s="55"/>
      <c r="D47" s="11">
        <v>1</v>
      </c>
      <c r="E47" s="12" t="s">
        <v>59</v>
      </c>
      <c r="F47" s="12"/>
      <c r="G47" s="13">
        <v>0</v>
      </c>
    </row>
    <row r="48" spans="1:7" ht="28.5" customHeight="1" thickBot="1" x14ac:dyDescent="0.3">
      <c r="A48" s="51"/>
      <c r="B48" s="55"/>
      <c r="C48" s="55"/>
      <c r="D48" s="11">
        <v>1</v>
      </c>
      <c r="E48" s="12" t="s">
        <v>60</v>
      </c>
      <c r="F48" s="12"/>
      <c r="G48" s="13">
        <v>0</v>
      </c>
    </row>
    <row r="49" spans="1:7" ht="28.5" customHeight="1" thickBot="1" x14ac:dyDescent="0.3">
      <c r="A49" s="51"/>
      <c r="B49" s="55"/>
      <c r="C49" s="56"/>
      <c r="D49" s="11">
        <v>1</v>
      </c>
      <c r="E49" s="12" t="s">
        <v>61</v>
      </c>
      <c r="F49" s="12"/>
      <c r="G49" s="13">
        <v>0</v>
      </c>
    </row>
    <row r="50" spans="1:7" ht="24.75" customHeight="1" thickBot="1" x14ac:dyDescent="0.3">
      <c r="A50" s="51"/>
      <c r="B50" s="55"/>
      <c r="C50" s="58" t="s">
        <v>62</v>
      </c>
      <c r="D50" s="20">
        <v>1</v>
      </c>
      <c r="E50" s="12" t="s">
        <v>63</v>
      </c>
      <c r="F50" s="12"/>
      <c r="G50" s="13">
        <v>0</v>
      </c>
    </row>
    <row r="51" spans="1:7" ht="28.5" customHeight="1" thickBot="1" x14ac:dyDescent="0.3">
      <c r="A51" s="51"/>
      <c r="B51" s="55"/>
      <c r="C51" s="55"/>
      <c r="D51" s="11">
        <v>1</v>
      </c>
      <c r="E51" s="12" t="s">
        <v>64</v>
      </c>
      <c r="F51" s="12"/>
      <c r="G51" s="13">
        <v>0</v>
      </c>
    </row>
    <row r="52" spans="1:7" ht="28.5" customHeight="1" thickBot="1" x14ac:dyDescent="0.3">
      <c r="A52" s="51"/>
      <c r="B52" s="55"/>
      <c r="C52" s="55"/>
      <c r="D52" s="11">
        <v>1</v>
      </c>
      <c r="E52" s="12" t="s">
        <v>65</v>
      </c>
      <c r="F52" s="12"/>
      <c r="G52" s="13">
        <v>0</v>
      </c>
    </row>
    <row r="53" spans="1:7" ht="28.5" customHeight="1" thickBot="1" x14ac:dyDescent="0.3">
      <c r="A53" s="51"/>
      <c r="B53" s="55"/>
      <c r="C53" s="55"/>
      <c r="D53" s="11">
        <v>1</v>
      </c>
      <c r="E53" s="12" t="s">
        <v>66</v>
      </c>
      <c r="F53" s="12"/>
      <c r="G53" s="13">
        <v>0</v>
      </c>
    </row>
    <row r="54" spans="1:7" ht="28.5" customHeight="1" thickBot="1" x14ac:dyDescent="0.3">
      <c r="A54" s="51"/>
      <c r="B54" s="55"/>
      <c r="C54" s="55"/>
      <c r="D54" s="11">
        <v>1</v>
      </c>
      <c r="E54" s="12" t="s">
        <v>67</v>
      </c>
      <c r="F54" s="12"/>
      <c r="G54" s="13">
        <v>0</v>
      </c>
    </row>
    <row r="55" spans="1:7" ht="28.5" customHeight="1" thickBot="1" x14ac:dyDescent="0.3">
      <c r="A55" s="51"/>
      <c r="B55" s="55"/>
      <c r="C55" s="55"/>
      <c r="D55" s="11">
        <v>1</v>
      </c>
      <c r="E55" s="12" t="s">
        <v>68</v>
      </c>
      <c r="F55" s="12"/>
      <c r="G55" s="13">
        <v>0</v>
      </c>
    </row>
    <row r="56" spans="1:7" ht="28.5" customHeight="1" thickBot="1" x14ac:dyDescent="0.3">
      <c r="A56" s="51"/>
      <c r="B56" s="55"/>
      <c r="C56" s="55"/>
      <c r="D56" s="11">
        <v>1</v>
      </c>
      <c r="E56" s="12" t="s">
        <v>69</v>
      </c>
      <c r="F56" s="12"/>
      <c r="G56" s="13">
        <v>1</v>
      </c>
    </row>
    <row r="57" spans="1:7" ht="28.5" customHeight="1" thickBot="1" x14ac:dyDescent="0.3">
      <c r="A57" s="51"/>
      <c r="B57" s="55"/>
      <c r="C57" s="55"/>
      <c r="D57" s="11">
        <v>1</v>
      </c>
      <c r="E57" s="12" t="s">
        <v>70</v>
      </c>
      <c r="F57" s="12"/>
      <c r="G57" s="13">
        <v>1</v>
      </c>
    </row>
    <row r="58" spans="1:7" ht="28.5" customHeight="1" thickBot="1" x14ac:dyDescent="0.3">
      <c r="A58" s="51"/>
      <c r="B58" s="55"/>
      <c r="C58" s="56"/>
      <c r="D58" s="11">
        <v>1</v>
      </c>
      <c r="E58" s="12" t="s">
        <v>71</v>
      </c>
      <c r="F58" s="12"/>
      <c r="G58" s="13">
        <v>0</v>
      </c>
    </row>
    <row r="59" spans="1:7" ht="28.5" customHeight="1" thickBot="1" x14ac:dyDescent="0.3">
      <c r="A59" s="51"/>
      <c r="B59" s="55"/>
      <c r="C59" s="58" t="s">
        <v>72</v>
      </c>
      <c r="D59" s="11">
        <v>1</v>
      </c>
      <c r="E59" s="15" t="s">
        <v>73</v>
      </c>
      <c r="F59" s="15"/>
      <c r="G59" s="13">
        <v>0</v>
      </c>
    </row>
    <row r="60" spans="1:7" ht="28.5" customHeight="1" thickBot="1" x14ac:dyDescent="0.3">
      <c r="A60" s="51"/>
      <c r="B60" s="55"/>
      <c r="C60" s="55"/>
      <c r="D60" s="11">
        <v>1</v>
      </c>
      <c r="E60" s="15" t="s">
        <v>74</v>
      </c>
      <c r="F60" s="15"/>
      <c r="G60" s="13">
        <v>0</v>
      </c>
    </row>
    <row r="61" spans="1:7" ht="28.5" customHeight="1" thickBot="1" x14ac:dyDescent="0.3">
      <c r="A61" s="51"/>
      <c r="B61" s="55"/>
      <c r="C61" s="55"/>
      <c r="D61" s="11">
        <v>1</v>
      </c>
      <c r="E61" s="15" t="s">
        <v>75</v>
      </c>
      <c r="F61" s="15"/>
      <c r="G61" s="13">
        <v>0</v>
      </c>
    </row>
    <row r="62" spans="1:7" ht="28.5" customHeight="1" thickBot="1" x14ac:dyDescent="0.3">
      <c r="A62" s="51"/>
      <c r="B62" s="55"/>
      <c r="C62" s="55"/>
      <c r="D62" s="11">
        <v>1</v>
      </c>
      <c r="E62" s="15" t="s">
        <v>76</v>
      </c>
      <c r="F62" s="15"/>
      <c r="G62" s="13">
        <v>0</v>
      </c>
    </row>
    <row r="63" spans="1:7" ht="28.5" customHeight="1" thickBot="1" x14ac:dyDescent="0.3">
      <c r="A63" s="51"/>
      <c r="B63" s="55"/>
      <c r="C63" s="55"/>
      <c r="D63" s="11">
        <v>1</v>
      </c>
      <c r="E63" s="15" t="s">
        <v>77</v>
      </c>
      <c r="F63" s="15"/>
      <c r="G63" s="13">
        <v>0</v>
      </c>
    </row>
    <row r="64" spans="1:7" ht="28.5" customHeight="1" thickBot="1" x14ac:dyDescent="0.3">
      <c r="A64" s="51"/>
      <c r="B64" s="55"/>
      <c r="C64" s="55"/>
      <c r="D64" s="11">
        <v>1</v>
      </c>
      <c r="E64" s="15" t="s">
        <v>78</v>
      </c>
      <c r="F64" s="15"/>
      <c r="G64" s="13">
        <v>0</v>
      </c>
    </row>
    <row r="65" spans="1:7" ht="28.5" customHeight="1" thickBot="1" x14ac:dyDescent="0.3">
      <c r="A65" s="51"/>
      <c r="B65" s="55"/>
      <c r="C65" s="55"/>
      <c r="D65" s="11">
        <v>1</v>
      </c>
      <c r="E65" s="15" t="s">
        <v>79</v>
      </c>
      <c r="F65" s="15"/>
      <c r="G65" s="13">
        <v>1</v>
      </c>
    </row>
    <row r="66" spans="1:7" ht="28.5" customHeight="1" thickBot="1" x14ac:dyDescent="0.3">
      <c r="A66" s="51"/>
      <c r="B66" s="55"/>
      <c r="C66" s="55"/>
      <c r="D66" s="11">
        <v>1</v>
      </c>
      <c r="E66" s="15" t="s">
        <v>80</v>
      </c>
      <c r="F66" s="15"/>
      <c r="G66" s="13">
        <v>1</v>
      </c>
    </row>
    <row r="67" spans="1:7" ht="28.5" customHeight="1" thickBot="1" x14ac:dyDescent="0.3">
      <c r="A67" s="51"/>
      <c r="B67" s="55"/>
      <c r="C67" s="55"/>
      <c r="D67" s="11">
        <v>1</v>
      </c>
      <c r="E67" s="15" t="s">
        <v>81</v>
      </c>
      <c r="F67" s="15"/>
      <c r="G67" s="13">
        <v>0</v>
      </c>
    </row>
    <row r="68" spans="1:7" ht="28.5" customHeight="1" thickBot="1" x14ac:dyDescent="0.3">
      <c r="A68" s="51"/>
      <c r="B68" s="55"/>
      <c r="C68" s="55"/>
      <c r="D68" s="11">
        <v>1</v>
      </c>
      <c r="E68" s="15" t="s">
        <v>82</v>
      </c>
      <c r="F68" s="15"/>
      <c r="G68" s="13">
        <v>0</v>
      </c>
    </row>
    <row r="69" spans="1:7" ht="28.5" customHeight="1" thickBot="1" x14ac:dyDescent="0.3">
      <c r="A69" s="51"/>
      <c r="B69" s="55"/>
      <c r="C69" s="55"/>
      <c r="D69" s="11">
        <v>1</v>
      </c>
      <c r="E69" s="15" t="s">
        <v>83</v>
      </c>
      <c r="F69" s="15"/>
      <c r="G69" s="13">
        <v>1</v>
      </c>
    </row>
    <row r="70" spans="1:7" ht="28.5" customHeight="1" thickBot="1" x14ac:dyDescent="0.3">
      <c r="A70" s="51"/>
      <c r="B70" s="55"/>
      <c r="C70" s="55"/>
      <c r="D70" s="11">
        <v>1</v>
      </c>
      <c r="E70" s="15" t="s">
        <v>84</v>
      </c>
      <c r="F70" s="15"/>
      <c r="G70" s="13">
        <v>1</v>
      </c>
    </row>
    <row r="71" spans="1:7" ht="28.5" customHeight="1" thickBot="1" x14ac:dyDescent="0.3">
      <c r="A71" s="51"/>
      <c r="B71" s="55"/>
      <c r="C71" s="55"/>
      <c r="D71" s="11">
        <v>1</v>
      </c>
      <c r="E71" s="15" t="s">
        <v>85</v>
      </c>
      <c r="F71" s="15"/>
      <c r="G71" s="13">
        <v>1</v>
      </c>
    </row>
    <row r="72" spans="1:7" ht="28.5" customHeight="1" thickBot="1" x14ac:dyDescent="0.3">
      <c r="A72" s="51"/>
      <c r="B72" s="55"/>
      <c r="C72" s="56"/>
      <c r="D72" s="11">
        <v>1</v>
      </c>
      <c r="E72" s="15" t="s">
        <v>86</v>
      </c>
      <c r="F72" s="15"/>
      <c r="G72" s="13">
        <v>0</v>
      </c>
    </row>
    <row r="73" spans="1:7" ht="28.5" customHeight="1" thickBot="1" x14ac:dyDescent="0.3">
      <c r="A73" s="51"/>
      <c r="B73" s="55"/>
      <c r="C73" s="58" t="s">
        <v>87</v>
      </c>
      <c r="D73" s="11">
        <v>1</v>
      </c>
      <c r="E73" s="12" t="s">
        <v>88</v>
      </c>
      <c r="F73" s="12"/>
      <c r="G73" s="13">
        <v>0</v>
      </c>
    </row>
    <row r="74" spans="1:7" ht="28.5" customHeight="1" thickBot="1" x14ac:dyDescent="0.3">
      <c r="A74" s="51"/>
      <c r="B74" s="55"/>
      <c r="C74" s="55"/>
      <c r="D74" s="11">
        <v>1</v>
      </c>
      <c r="E74" s="12" t="s">
        <v>89</v>
      </c>
      <c r="F74" s="12"/>
      <c r="G74" s="13">
        <v>0</v>
      </c>
    </row>
    <row r="75" spans="1:7" ht="28.5" customHeight="1" thickBot="1" x14ac:dyDescent="0.3">
      <c r="A75" s="51"/>
      <c r="B75" s="55"/>
      <c r="C75" s="55"/>
      <c r="D75" s="11">
        <v>1</v>
      </c>
      <c r="E75" s="12" t="s">
        <v>90</v>
      </c>
      <c r="F75" s="12"/>
      <c r="G75" s="13">
        <v>0</v>
      </c>
    </row>
    <row r="76" spans="1:7" ht="28.5" customHeight="1" thickBot="1" x14ac:dyDescent="0.3">
      <c r="A76" s="51"/>
      <c r="B76" s="55"/>
      <c r="C76" s="55"/>
      <c r="D76" s="11">
        <v>1</v>
      </c>
      <c r="E76" s="12" t="s">
        <v>91</v>
      </c>
      <c r="F76" s="12"/>
      <c r="G76" s="13">
        <v>1</v>
      </c>
    </row>
    <row r="77" spans="1:7" ht="28.5" customHeight="1" thickBot="1" x14ac:dyDescent="0.3">
      <c r="A77" s="51"/>
      <c r="B77" s="55"/>
      <c r="C77" s="56"/>
      <c r="D77" s="11">
        <v>1</v>
      </c>
      <c r="E77" s="12" t="s">
        <v>92</v>
      </c>
      <c r="F77" s="12"/>
      <c r="G77" s="13">
        <v>1</v>
      </c>
    </row>
    <row r="78" spans="1:7" ht="26.25" customHeight="1" thickBot="1" x14ac:dyDescent="0.3">
      <c r="A78" s="51"/>
      <c r="B78" s="55"/>
      <c r="C78" s="21" t="s">
        <v>93</v>
      </c>
      <c r="D78" s="11">
        <v>1</v>
      </c>
      <c r="E78" s="12" t="s">
        <v>94</v>
      </c>
      <c r="F78" s="12"/>
      <c r="G78" s="13">
        <v>1</v>
      </c>
    </row>
    <row r="79" spans="1:7" ht="28.5" customHeight="1" thickBot="1" x14ac:dyDescent="0.3">
      <c r="A79" s="51"/>
      <c r="B79" s="55"/>
      <c r="C79" s="58" t="s">
        <v>95</v>
      </c>
      <c r="D79" s="11">
        <v>1</v>
      </c>
      <c r="E79" s="15" t="s">
        <v>96</v>
      </c>
      <c r="F79" s="15"/>
      <c r="G79" s="13">
        <v>0</v>
      </c>
    </row>
    <row r="80" spans="1:7" ht="28.5" customHeight="1" thickBot="1" x14ac:dyDescent="0.3">
      <c r="A80" s="51"/>
      <c r="B80" s="55"/>
      <c r="C80" s="55"/>
      <c r="D80" s="11">
        <v>1</v>
      </c>
      <c r="E80" s="15" t="s">
        <v>97</v>
      </c>
      <c r="F80" s="15"/>
      <c r="G80" s="13">
        <v>0</v>
      </c>
    </row>
    <row r="81" spans="1:7" ht="28.5" customHeight="1" thickBot="1" x14ac:dyDescent="0.3">
      <c r="A81" s="51"/>
      <c r="B81" s="55"/>
      <c r="C81" s="55"/>
      <c r="D81" s="11">
        <v>1</v>
      </c>
      <c r="E81" s="15" t="s">
        <v>98</v>
      </c>
      <c r="F81" s="15"/>
      <c r="G81" s="13">
        <v>0</v>
      </c>
    </row>
    <row r="82" spans="1:7" ht="28.5" customHeight="1" thickBot="1" x14ac:dyDescent="0.3">
      <c r="A82" s="51"/>
      <c r="B82" s="55"/>
      <c r="C82" s="55"/>
      <c r="D82" s="11">
        <v>1</v>
      </c>
      <c r="E82" s="15" t="s">
        <v>99</v>
      </c>
      <c r="F82" s="15"/>
      <c r="G82" s="13">
        <v>0</v>
      </c>
    </row>
    <row r="83" spans="1:7" ht="28.5" customHeight="1" thickBot="1" x14ac:dyDescent="0.3">
      <c r="A83" s="51"/>
      <c r="B83" s="56"/>
      <c r="C83" s="56"/>
      <c r="D83" s="11">
        <v>1</v>
      </c>
      <c r="E83" s="15" t="s">
        <v>100</v>
      </c>
      <c r="F83" s="15"/>
      <c r="G83" s="13">
        <v>0</v>
      </c>
    </row>
    <row r="84" spans="1:7" ht="28.5" customHeight="1" thickBot="1" x14ac:dyDescent="0.3">
      <c r="A84" s="51"/>
      <c r="B84" s="22"/>
      <c r="C84" s="17"/>
      <c r="D84" s="17"/>
      <c r="E84" s="18"/>
      <c r="F84" s="19">
        <f t="shared" ref="F84:G84" si="1">((SUM(F24:F83))/60)</f>
        <v>0</v>
      </c>
      <c r="G84" s="19">
        <f t="shared" si="1"/>
        <v>0.23333333333333334</v>
      </c>
    </row>
    <row r="85" spans="1:7" ht="23.25" customHeight="1" thickBot="1" x14ac:dyDescent="0.3">
      <c r="A85" s="51"/>
      <c r="B85" s="60" t="s">
        <v>101</v>
      </c>
      <c r="C85" s="57" t="s">
        <v>102</v>
      </c>
      <c r="D85" s="11">
        <v>1</v>
      </c>
      <c r="E85" s="15" t="s">
        <v>103</v>
      </c>
      <c r="F85" s="15"/>
      <c r="G85" s="13">
        <v>0</v>
      </c>
    </row>
    <row r="86" spans="1:7" ht="23.25" customHeight="1" thickBot="1" x14ac:dyDescent="0.3">
      <c r="A86" s="51"/>
      <c r="B86" s="55"/>
      <c r="C86" s="55"/>
      <c r="D86" s="11">
        <v>1</v>
      </c>
      <c r="E86" s="15" t="s">
        <v>104</v>
      </c>
      <c r="F86" s="15"/>
      <c r="G86" s="13">
        <v>0</v>
      </c>
    </row>
    <row r="87" spans="1:7" ht="23.25" customHeight="1" thickBot="1" x14ac:dyDescent="0.3">
      <c r="A87" s="51"/>
      <c r="B87" s="55"/>
      <c r="C87" s="56"/>
      <c r="D87" s="11">
        <v>1</v>
      </c>
      <c r="E87" s="15" t="s">
        <v>105</v>
      </c>
      <c r="F87" s="15"/>
      <c r="G87" s="13">
        <v>1</v>
      </c>
    </row>
    <row r="88" spans="1:7" ht="28.5" customHeight="1" thickBot="1" x14ac:dyDescent="0.3">
      <c r="A88" s="51"/>
      <c r="B88" s="55"/>
      <c r="C88" s="57" t="s">
        <v>106</v>
      </c>
      <c r="D88" s="11">
        <v>1</v>
      </c>
      <c r="E88" s="15" t="s">
        <v>107</v>
      </c>
      <c r="F88" s="15"/>
      <c r="G88" s="13">
        <v>0</v>
      </c>
    </row>
    <row r="89" spans="1:7" ht="28.5" customHeight="1" thickBot="1" x14ac:dyDescent="0.3">
      <c r="A89" s="51"/>
      <c r="B89" s="55"/>
      <c r="C89" s="55"/>
      <c r="D89" s="11">
        <v>1</v>
      </c>
      <c r="E89" s="15" t="s">
        <v>108</v>
      </c>
      <c r="F89" s="15"/>
      <c r="G89" s="13">
        <v>0</v>
      </c>
    </row>
    <row r="90" spans="1:7" ht="28.5" customHeight="1" thickBot="1" x14ac:dyDescent="0.3">
      <c r="A90" s="51"/>
      <c r="B90" s="55"/>
      <c r="C90" s="55"/>
      <c r="D90" s="11">
        <v>1</v>
      </c>
      <c r="E90" s="15" t="s">
        <v>109</v>
      </c>
      <c r="F90" s="15"/>
      <c r="G90" s="13">
        <v>0</v>
      </c>
    </row>
    <row r="91" spans="1:7" ht="28.5" customHeight="1" thickBot="1" x14ac:dyDescent="0.3">
      <c r="A91" s="51"/>
      <c r="B91" s="55"/>
      <c r="C91" s="55"/>
      <c r="D91" s="11">
        <v>1</v>
      </c>
      <c r="E91" s="15" t="s">
        <v>110</v>
      </c>
      <c r="F91" s="15"/>
      <c r="G91" s="13">
        <v>0</v>
      </c>
    </row>
    <row r="92" spans="1:7" ht="28.5" customHeight="1" thickBot="1" x14ac:dyDescent="0.3">
      <c r="A92" s="51"/>
      <c r="B92" s="55"/>
      <c r="C92" s="55"/>
      <c r="D92" s="11">
        <v>1</v>
      </c>
      <c r="E92" s="15" t="s">
        <v>111</v>
      </c>
      <c r="F92" s="15"/>
      <c r="G92" s="13">
        <v>0</v>
      </c>
    </row>
    <row r="93" spans="1:7" ht="28.5" customHeight="1" thickBot="1" x14ac:dyDescent="0.3">
      <c r="A93" s="51"/>
      <c r="B93" s="55"/>
      <c r="C93" s="55"/>
      <c r="D93" s="11">
        <v>1</v>
      </c>
      <c r="E93" s="15" t="s">
        <v>112</v>
      </c>
      <c r="F93" s="15"/>
      <c r="G93" s="13">
        <v>0</v>
      </c>
    </row>
    <row r="94" spans="1:7" ht="28.5" customHeight="1" thickBot="1" x14ac:dyDescent="0.3">
      <c r="A94" s="51"/>
      <c r="B94" s="55"/>
      <c r="C94" s="55"/>
      <c r="D94" s="11">
        <v>1</v>
      </c>
      <c r="E94" s="15" t="s">
        <v>113</v>
      </c>
      <c r="F94" s="15"/>
      <c r="G94" s="13">
        <v>0</v>
      </c>
    </row>
    <row r="95" spans="1:7" ht="28.5" customHeight="1" thickBot="1" x14ac:dyDescent="0.3">
      <c r="A95" s="51"/>
      <c r="B95" s="55"/>
      <c r="C95" s="55"/>
      <c r="D95" s="11">
        <v>1</v>
      </c>
      <c r="E95" s="15" t="s">
        <v>114</v>
      </c>
      <c r="F95" s="15"/>
      <c r="G95" s="13">
        <v>0</v>
      </c>
    </row>
    <row r="96" spans="1:7" ht="28.5" customHeight="1" thickBot="1" x14ac:dyDescent="0.3">
      <c r="A96" s="51"/>
      <c r="B96" s="55"/>
      <c r="C96" s="55"/>
      <c r="D96" s="11">
        <v>1</v>
      </c>
      <c r="E96" s="15" t="s">
        <v>115</v>
      </c>
      <c r="F96" s="15"/>
      <c r="G96" s="13">
        <v>0</v>
      </c>
    </row>
    <row r="97" spans="1:7" ht="28.5" customHeight="1" thickBot="1" x14ac:dyDescent="0.3">
      <c r="A97" s="51"/>
      <c r="B97" s="55"/>
      <c r="C97" s="55"/>
      <c r="D97" s="11">
        <v>1</v>
      </c>
      <c r="E97" s="15" t="s">
        <v>116</v>
      </c>
      <c r="F97" s="15"/>
      <c r="G97" s="13">
        <v>0</v>
      </c>
    </row>
    <row r="98" spans="1:7" ht="28.5" customHeight="1" thickBot="1" x14ac:dyDescent="0.3">
      <c r="A98" s="51"/>
      <c r="B98" s="55"/>
      <c r="C98" s="55"/>
      <c r="D98" s="11">
        <v>1</v>
      </c>
      <c r="E98" s="15" t="s">
        <v>117</v>
      </c>
      <c r="F98" s="15"/>
      <c r="G98" s="13">
        <v>0</v>
      </c>
    </row>
    <row r="99" spans="1:7" ht="28.5" customHeight="1" thickBot="1" x14ac:dyDescent="0.3">
      <c r="A99" s="51"/>
      <c r="B99" s="55"/>
      <c r="C99" s="55"/>
      <c r="D99" s="11">
        <v>1</v>
      </c>
      <c r="E99" s="15" t="s">
        <v>118</v>
      </c>
      <c r="F99" s="15"/>
      <c r="G99" s="13">
        <v>0</v>
      </c>
    </row>
    <row r="100" spans="1:7" ht="28.5" customHeight="1" thickBot="1" x14ac:dyDescent="0.3">
      <c r="A100" s="51"/>
      <c r="B100" s="55"/>
      <c r="C100" s="55"/>
      <c r="D100" s="11">
        <v>1</v>
      </c>
      <c r="E100" s="15" t="s">
        <v>119</v>
      </c>
      <c r="F100" s="15"/>
      <c r="G100" s="13">
        <v>0</v>
      </c>
    </row>
    <row r="101" spans="1:7" ht="28.5" customHeight="1" thickBot="1" x14ac:dyDescent="0.3">
      <c r="A101" s="51"/>
      <c r="B101" s="55"/>
      <c r="C101" s="55"/>
      <c r="D101" s="11">
        <v>1</v>
      </c>
      <c r="E101" s="15" t="s">
        <v>120</v>
      </c>
      <c r="F101" s="15"/>
      <c r="G101" s="13">
        <v>0</v>
      </c>
    </row>
    <row r="102" spans="1:7" ht="28.5" customHeight="1" thickBot="1" x14ac:dyDescent="0.3">
      <c r="A102" s="51"/>
      <c r="B102" s="55"/>
      <c r="C102" s="55"/>
      <c r="D102" s="11">
        <v>1</v>
      </c>
      <c r="E102" s="15" t="s">
        <v>121</v>
      </c>
      <c r="F102" s="15"/>
      <c r="G102" s="13">
        <v>0</v>
      </c>
    </row>
    <row r="103" spans="1:7" ht="28.5" customHeight="1" thickBot="1" x14ac:dyDescent="0.3">
      <c r="A103" s="51"/>
      <c r="B103" s="55"/>
      <c r="C103" s="55"/>
      <c r="D103" s="11">
        <v>1</v>
      </c>
      <c r="E103" s="15" t="s">
        <v>122</v>
      </c>
      <c r="F103" s="15"/>
      <c r="G103" s="13">
        <v>0</v>
      </c>
    </row>
    <row r="104" spans="1:7" ht="28.5" customHeight="1" thickBot="1" x14ac:dyDescent="0.3">
      <c r="A104" s="51"/>
      <c r="B104" s="55"/>
      <c r="C104" s="55"/>
      <c r="D104" s="11">
        <v>1</v>
      </c>
      <c r="E104" s="15" t="s">
        <v>123</v>
      </c>
      <c r="F104" s="15"/>
      <c r="G104" s="13">
        <v>0</v>
      </c>
    </row>
    <row r="105" spans="1:7" ht="28.5" customHeight="1" thickBot="1" x14ac:dyDescent="0.3">
      <c r="A105" s="51"/>
      <c r="B105" s="55"/>
      <c r="C105" s="55"/>
      <c r="D105" s="11">
        <v>1</v>
      </c>
      <c r="E105" s="15" t="s">
        <v>124</v>
      </c>
      <c r="F105" s="15"/>
      <c r="G105" s="13">
        <v>0</v>
      </c>
    </row>
    <row r="106" spans="1:7" ht="28.5" customHeight="1" thickBot="1" x14ac:dyDescent="0.3">
      <c r="A106" s="51"/>
      <c r="B106" s="55"/>
      <c r="C106" s="55"/>
      <c r="D106" s="11">
        <v>1</v>
      </c>
      <c r="E106" s="15" t="s">
        <v>125</v>
      </c>
      <c r="F106" s="15"/>
      <c r="G106" s="13">
        <v>0</v>
      </c>
    </row>
    <row r="107" spans="1:7" ht="28.5" customHeight="1" thickBot="1" x14ac:dyDescent="0.3">
      <c r="A107" s="51"/>
      <c r="B107" s="55"/>
      <c r="C107" s="55"/>
      <c r="D107" s="11">
        <v>1</v>
      </c>
      <c r="E107" s="15" t="s">
        <v>126</v>
      </c>
      <c r="F107" s="15"/>
      <c r="G107" s="13">
        <v>0</v>
      </c>
    </row>
    <row r="108" spans="1:7" ht="28.5" customHeight="1" thickBot="1" x14ac:dyDescent="0.3">
      <c r="A108" s="51"/>
      <c r="B108" s="55"/>
      <c r="C108" s="55"/>
      <c r="D108" s="11">
        <v>1</v>
      </c>
      <c r="E108" s="15" t="s">
        <v>127</v>
      </c>
      <c r="F108" s="15"/>
      <c r="G108" s="13">
        <v>0</v>
      </c>
    </row>
    <row r="109" spans="1:7" ht="28.5" customHeight="1" thickBot="1" x14ac:dyDescent="0.3">
      <c r="A109" s="51"/>
      <c r="B109" s="55"/>
      <c r="C109" s="55"/>
      <c r="D109" s="11">
        <v>1</v>
      </c>
      <c r="E109" s="15" t="s">
        <v>128</v>
      </c>
      <c r="F109" s="15"/>
      <c r="G109" s="13">
        <v>0</v>
      </c>
    </row>
    <row r="110" spans="1:7" ht="28.5" customHeight="1" thickBot="1" x14ac:dyDescent="0.3">
      <c r="A110" s="51"/>
      <c r="B110" s="55"/>
      <c r="C110" s="55"/>
      <c r="D110" s="11">
        <v>1</v>
      </c>
      <c r="E110" s="15" t="s">
        <v>129</v>
      </c>
      <c r="F110" s="15"/>
      <c r="G110" s="13">
        <v>0</v>
      </c>
    </row>
    <row r="111" spans="1:7" ht="28.5" customHeight="1" thickBot="1" x14ac:dyDescent="0.3">
      <c r="A111" s="51"/>
      <c r="B111" s="55"/>
      <c r="C111" s="55"/>
      <c r="D111" s="11">
        <v>1</v>
      </c>
      <c r="E111" s="15" t="s">
        <v>130</v>
      </c>
      <c r="F111" s="15"/>
      <c r="G111" s="13">
        <v>0</v>
      </c>
    </row>
    <row r="112" spans="1:7" ht="28.5" customHeight="1" thickBot="1" x14ac:dyDescent="0.3">
      <c r="A112" s="51"/>
      <c r="B112" s="55"/>
      <c r="C112" s="56"/>
      <c r="D112" s="11">
        <v>1</v>
      </c>
      <c r="E112" s="15" t="s">
        <v>131</v>
      </c>
      <c r="F112" s="15"/>
      <c r="G112" s="13">
        <v>0</v>
      </c>
    </row>
    <row r="113" spans="1:8" ht="28.5" customHeight="1" thickBot="1" x14ac:dyDescent="0.3">
      <c r="A113" s="51"/>
      <c r="B113" s="55"/>
      <c r="C113" s="57" t="s">
        <v>132</v>
      </c>
      <c r="D113" s="11">
        <v>1</v>
      </c>
      <c r="E113" s="15" t="s">
        <v>133</v>
      </c>
      <c r="F113" s="15"/>
      <c r="G113" s="13">
        <v>0</v>
      </c>
    </row>
    <row r="114" spans="1:8" ht="28.5" customHeight="1" thickBot="1" x14ac:dyDescent="0.3">
      <c r="A114" s="51"/>
      <c r="B114" s="55"/>
      <c r="C114" s="55"/>
      <c r="D114" s="11">
        <v>1</v>
      </c>
      <c r="E114" s="15" t="s">
        <v>134</v>
      </c>
      <c r="F114" s="15"/>
      <c r="G114" s="13">
        <v>0</v>
      </c>
    </row>
    <row r="115" spans="1:8" ht="28.5" customHeight="1" thickBot="1" x14ac:dyDescent="0.3">
      <c r="A115" s="51"/>
      <c r="B115" s="55"/>
      <c r="C115" s="55"/>
      <c r="D115" s="11">
        <v>1</v>
      </c>
      <c r="E115" s="15" t="s">
        <v>135</v>
      </c>
      <c r="F115" s="15"/>
      <c r="G115" s="13">
        <v>0</v>
      </c>
    </row>
    <row r="116" spans="1:8" ht="28.5" customHeight="1" thickBot="1" x14ac:dyDescent="0.3">
      <c r="A116" s="51"/>
      <c r="B116" s="55"/>
      <c r="C116" s="66"/>
      <c r="D116" s="11">
        <v>1</v>
      </c>
      <c r="E116" s="15" t="s">
        <v>136</v>
      </c>
      <c r="F116" s="15"/>
      <c r="G116" s="13">
        <v>0</v>
      </c>
    </row>
    <row r="117" spans="1:8" ht="29.25" customHeight="1" thickBot="1" x14ac:dyDescent="0.3">
      <c r="A117" s="51"/>
      <c r="B117" s="55"/>
      <c r="C117" s="57" t="s">
        <v>137</v>
      </c>
      <c r="D117" s="11">
        <v>1</v>
      </c>
      <c r="E117" s="15" t="s">
        <v>138</v>
      </c>
      <c r="F117" s="15"/>
      <c r="G117" s="13">
        <v>0</v>
      </c>
    </row>
    <row r="118" spans="1:8" ht="29.25" customHeight="1" thickBot="1" x14ac:dyDescent="0.3">
      <c r="A118" s="51"/>
      <c r="B118" s="55"/>
      <c r="C118" s="56"/>
      <c r="D118" s="11">
        <v>1</v>
      </c>
      <c r="E118" s="15" t="s">
        <v>139</v>
      </c>
      <c r="F118" s="15"/>
      <c r="G118" s="13">
        <v>0</v>
      </c>
    </row>
    <row r="119" spans="1:8" ht="28.5" customHeight="1" thickBot="1" x14ac:dyDescent="0.3">
      <c r="A119" s="51"/>
      <c r="B119" s="55"/>
      <c r="C119" s="57" t="s">
        <v>140</v>
      </c>
      <c r="D119" s="11">
        <v>1</v>
      </c>
      <c r="E119" s="15" t="s">
        <v>141</v>
      </c>
      <c r="F119" s="15"/>
      <c r="G119" s="13">
        <v>1</v>
      </c>
    </row>
    <row r="120" spans="1:8" ht="28.5" customHeight="1" thickBot="1" x14ac:dyDescent="0.3">
      <c r="A120" s="51"/>
      <c r="B120" s="55"/>
      <c r="C120" s="55"/>
      <c r="D120" s="11">
        <v>1</v>
      </c>
      <c r="E120" s="15" t="s">
        <v>142</v>
      </c>
      <c r="F120" s="15"/>
      <c r="G120" s="13">
        <v>0</v>
      </c>
    </row>
    <row r="121" spans="1:8" ht="28.5" customHeight="1" thickBot="1" x14ac:dyDescent="0.3">
      <c r="A121" s="51"/>
      <c r="B121" s="55"/>
      <c r="C121" s="56"/>
      <c r="D121" s="11">
        <v>1</v>
      </c>
      <c r="E121" s="15" t="s">
        <v>143</v>
      </c>
      <c r="F121" s="15"/>
      <c r="G121" s="13">
        <v>1</v>
      </c>
    </row>
    <row r="122" spans="1:8" ht="28.5" customHeight="1" thickBot="1" x14ac:dyDescent="0.3">
      <c r="A122" s="51"/>
      <c r="B122" s="55"/>
      <c r="C122" s="57" t="s">
        <v>144</v>
      </c>
      <c r="D122" s="11">
        <v>1</v>
      </c>
      <c r="E122" s="15" t="s">
        <v>145</v>
      </c>
      <c r="F122" s="15"/>
      <c r="G122" s="13">
        <v>1</v>
      </c>
    </row>
    <row r="123" spans="1:8" ht="28.5" customHeight="1" thickBot="1" x14ac:dyDescent="0.3">
      <c r="A123" s="51"/>
      <c r="B123" s="55"/>
      <c r="C123" s="55"/>
      <c r="D123" s="11">
        <v>1</v>
      </c>
      <c r="E123" s="15" t="s">
        <v>146</v>
      </c>
      <c r="F123" s="15"/>
      <c r="G123" s="13">
        <v>1</v>
      </c>
    </row>
    <row r="124" spans="1:8" ht="28.5" customHeight="1" thickBot="1" x14ac:dyDescent="0.3">
      <c r="A124" s="51"/>
      <c r="B124" s="55"/>
      <c r="C124" s="55"/>
      <c r="D124" s="11">
        <v>1</v>
      </c>
      <c r="E124" s="15" t="s">
        <v>147</v>
      </c>
      <c r="F124" s="15"/>
      <c r="G124" s="13">
        <v>1</v>
      </c>
    </row>
    <row r="125" spans="1:8" ht="28.5" customHeight="1" thickBot="1" x14ac:dyDescent="0.3">
      <c r="A125" s="51"/>
      <c r="B125" s="56"/>
      <c r="C125" s="56"/>
      <c r="D125" s="11">
        <v>1</v>
      </c>
      <c r="E125" s="15" t="s">
        <v>148</v>
      </c>
      <c r="F125" s="15"/>
      <c r="G125" s="13">
        <v>0</v>
      </c>
    </row>
    <row r="126" spans="1:8" ht="16.5" customHeight="1" thickBot="1" x14ac:dyDescent="0.4">
      <c r="A126" s="51"/>
      <c r="B126" s="23"/>
      <c r="C126" s="16"/>
      <c r="D126" s="17"/>
      <c r="E126" s="24"/>
      <c r="F126" s="19">
        <f t="shared" ref="F126:G126" si="2">(SUM(F85:F125)/41)</f>
        <v>0</v>
      </c>
      <c r="G126" s="19">
        <f t="shared" si="2"/>
        <v>0.14634146341463414</v>
      </c>
      <c r="H126" s="5"/>
    </row>
    <row r="127" spans="1:8" ht="28.5" customHeight="1" thickBot="1" x14ac:dyDescent="0.3">
      <c r="A127" s="51"/>
      <c r="B127" s="61" t="s">
        <v>149</v>
      </c>
      <c r="C127" s="54" t="s">
        <v>150</v>
      </c>
      <c r="D127" s="11">
        <v>1</v>
      </c>
      <c r="E127" s="15" t="s">
        <v>151</v>
      </c>
      <c r="F127" s="15"/>
      <c r="G127" s="13">
        <v>0</v>
      </c>
    </row>
    <row r="128" spans="1:8" ht="28.5" customHeight="1" thickBot="1" x14ac:dyDescent="0.3">
      <c r="A128" s="51"/>
      <c r="B128" s="55"/>
      <c r="C128" s="55"/>
      <c r="D128" s="11">
        <v>1</v>
      </c>
      <c r="E128" s="15" t="s">
        <v>152</v>
      </c>
      <c r="F128" s="15"/>
      <c r="G128" s="13">
        <v>0</v>
      </c>
    </row>
    <row r="129" spans="1:7" ht="28.5" customHeight="1" thickBot="1" x14ac:dyDescent="0.3">
      <c r="A129" s="51"/>
      <c r="B129" s="55"/>
      <c r="C129" s="55"/>
      <c r="D129" s="11">
        <v>1</v>
      </c>
      <c r="E129" s="15" t="s">
        <v>153</v>
      </c>
      <c r="F129" s="15"/>
      <c r="G129" s="13">
        <v>0</v>
      </c>
    </row>
    <row r="130" spans="1:7" ht="28.5" customHeight="1" thickBot="1" x14ac:dyDescent="0.3">
      <c r="A130" s="51"/>
      <c r="B130" s="55"/>
      <c r="C130" s="55"/>
      <c r="D130" s="11">
        <v>1</v>
      </c>
      <c r="E130" s="15" t="s">
        <v>154</v>
      </c>
      <c r="F130" s="15"/>
      <c r="G130" s="13">
        <v>0</v>
      </c>
    </row>
    <row r="131" spans="1:7" ht="28.5" customHeight="1" thickBot="1" x14ac:dyDescent="0.3">
      <c r="A131" s="51"/>
      <c r="B131" s="55"/>
      <c r="C131" s="55"/>
      <c r="D131" s="11">
        <v>1</v>
      </c>
      <c r="E131" s="15" t="s">
        <v>155</v>
      </c>
      <c r="F131" s="15"/>
      <c r="G131" s="13">
        <v>0</v>
      </c>
    </row>
    <row r="132" spans="1:7" ht="28.5" customHeight="1" thickBot="1" x14ac:dyDescent="0.3">
      <c r="A132" s="51"/>
      <c r="B132" s="55"/>
      <c r="C132" s="55"/>
      <c r="D132" s="11">
        <v>1</v>
      </c>
      <c r="E132" s="15" t="s">
        <v>156</v>
      </c>
      <c r="F132" s="15"/>
      <c r="G132" s="13">
        <v>0</v>
      </c>
    </row>
    <row r="133" spans="1:7" ht="28.5" customHeight="1" thickBot="1" x14ac:dyDescent="0.3">
      <c r="A133" s="51"/>
      <c r="B133" s="55"/>
      <c r="C133" s="56"/>
      <c r="D133" s="11">
        <v>1</v>
      </c>
      <c r="E133" s="15" t="s">
        <v>157</v>
      </c>
      <c r="F133" s="15"/>
      <c r="G133" s="13">
        <v>0</v>
      </c>
    </row>
    <row r="134" spans="1:7" ht="24.75" customHeight="1" thickBot="1" x14ac:dyDescent="0.3">
      <c r="A134" s="51"/>
      <c r="B134" s="55"/>
      <c r="C134" s="54" t="s">
        <v>158</v>
      </c>
      <c r="D134" s="11">
        <v>1</v>
      </c>
      <c r="E134" s="15" t="s">
        <v>159</v>
      </c>
      <c r="F134" s="15"/>
      <c r="G134" s="13">
        <v>0</v>
      </c>
    </row>
    <row r="135" spans="1:7" ht="24.75" customHeight="1" thickBot="1" x14ac:dyDescent="0.3">
      <c r="A135" s="51"/>
      <c r="B135" s="55"/>
      <c r="C135" s="55"/>
      <c r="D135" s="11">
        <v>1</v>
      </c>
      <c r="E135" s="15" t="s">
        <v>160</v>
      </c>
      <c r="F135" s="15"/>
      <c r="G135" s="13">
        <v>0</v>
      </c>
    </row>
    <row r="136" spans="1:7" ht="24.75" customHeight="1" thickBot="1" x14ac:dyDescent="0.3">
      <c r="A136" s="51"/>
      <c r="B136" s="55"/>
      <c r="C136" s="55"/>
      <c r="D136" s="11">
        <v>1</v>
      </c>
      <c r="E136" s="15" t="s">
        <v>161</v>
      </c>
      <c r="F136" s="15"/>
      <c r="G136" s="13">
        <v>0</v>
      </c>
    </row>
    <row r="137" spans="1:7" ht="24.75" customHeight="1" thickBot="1" x14ac:dyDescent="0.3">
      <c r="A137" s="51"/>
      <c r="B137" s="55"/>
      <c r="C137" s="56"/>
      <c r="D137" s="11">
        <v>1</v>
      </c>
      <c r="E137" s="15" t="s">
        <v>162</v>
      </c>
      <c r="F137" s="15"/>
      <c r="G137" s="13">
        <v>0</v>
      </c>
    </row>
    <row r="138" spans="1:7" ht="28.5" customHeight="1" thickBot="1" x14ac:dyDescent="0.3">
      <c r="A138" s="51"/>
      <c r="B138" s="55"/>
      <c r="C138" s="54" t="s">
        <v>163</v>
      </c>
      <c r="D138" s="11">
        <v>1</v>
      </c>
      <c r="E138" s="15" t="s">
        <v>164</v>
      </c>
      <c r="F138" s="15"/>
      <c r="G138" s="13">
        <v>0</v>
      </c>
    </row>
    <row r="139" spans="1:7" ht="28.5" customHeight="1" thickBot="1" x14ac:dyDescent="0.3">
      <c r="A139" s="51"/>
      <c r="B139" s="55"/>
      <c r="C139" s="55"/>
      <c r="D139" s="11">
        <v>1</v>
      </c>
      <c r="E139" s="15" t="s">
        <v>165</v>
      </c>
      <c r="F139" s="15"/>
      <c r="G139" s="13">
        <v>0</v>
      </c>
    </row>
    <row r="140" spans="1:7" ht="28.5" customHeight="1" thickBot="1" x14ac:dyDescent="0.3">
      <c r="A140" s="51"/>
      <c r="B140" s="55"/>
      <c r="C140" s="55"/>
      <c r="D140" s="11">
        <v>1</v>
      </c>
      <c r="E140" s="15" t="s">
        <v>166</v>
      </c>
      <c r="F140" s="15"/>
      <c r="G140" s="13">
        <v>0</v>
      </c>
    </row>
    <row r="141" spans="1:7" ht="28.5" customHeight="1" thickBot="1" x14ac:dyDescent="0.3">
      <c r="A141" s="51"/>
      <c r="B141" s="55"/>
      <c r="C141" s="56"/>
      <c r="D141" s="11">
        <v>1</v>
      </c>
      <c r="E141" s="15" t="s">
        <v>167</v>
      </c>
      <c r="F141" s="15"/>
      <c r="G141" s="13">
        <v>0</v>
      </c>
    </row>
    <row r="142" spans="1:7" ht="28.5" customHeight="1" thickBot="1" x14ac:dyDescent="0.3">
      <c r="A142" s="51"/>
      <c r="B142" s="55"/>
      <c r="C142" s="54" t="s">
        <v>168</v>
      </c>
      <c r="D142" s="11">
        <v>1</v>
      </c>
      <c r="E142" s="15" t="s">
        <v>169</v>
      </c>
      <c r="F142" s="15"/>
      <c r="G142" s="13">
        <v>0</v>
      </c>
    </row>
    <row r="143" spans="1:7" ht="28.5" customHeight="1" thickBot="1" x14ac:dyDescent="0.3">
      <c r="A143" s="51"/>
      <c r="B143" s="55"/>
      <c r="C143" s="55"/>
      <c r="D143" s="11">
        <v>1</v>
      </c>
      <c r="E143" s="15" t="s">
        <v>170</v>
      </c>
      <c r="F143" s="15"/>
      <c r="G143" s="13">
        <v>0</v>
      </c>
    </row>
    <row r="144" spans="1:7" ht="28.5" customHeight="1" thickBot="1" x14ac:dyDescent="0.3">
      <c r="A144" s="51"/>
      <c r="B144" s="55"/>
      <c r="C144" s="55"/>
      <c r="D144" s="11">
        <v>1</v>
      </c>
      <c r="E144" s="15" t="s">
        <v>171</v>
      </c>
      <c r="F144" s="15"/>
      <c r="G144" s="13">
        <v>0</v>
      </c>
    </row>
    <row r="145" spans="1:7" ht="28.5" customHeight="1" thickBot="1" x14ac:dyDescent="0.3">
      <c r="A145" s="51"/>
      <c r="B145" s="55"/>
      <c r="C145" s="56"/>
      <c r="D145" s="11">
        <v>1</v>
      </c>
      <c r="E145" s="15" t="s">
        <v>172</v>
      </c>
      <c r="F145" s="15"/>
      <c r="G145" s="13">
        <v>0</v>
      </c>
    </row>
    <row r="146" spans="1:7" ht="28.5" customHeight="1" thickBot="1" x14ac:dyDescent="0.3">
      <c r="A146" s="51"/>
      <c r="B146" s="55"/>
      <c r="C146" s="54" t="s">
        <v>173</v>
      </c>
      <c r="D146" s="11">
        <v>1</v>
      </c>
      <c r="E146" s="15" t="s">
        <v>174</v>
      </c>
      <c r="F146" s="15"/>
      <c r="G146" s="13">
        <v>0</v>
      </c>
    </row>
    <row r="147" spans="1:7" ht="28.5" customHeight="1" thickBot="1" x14ac:dyDescent="0.3">
      <c r="A147" s="51"/>
      <c r="B147" s="55"/>
      <c r="C147" s="55"/>
      <c r="D147" s="11">
        <v>1</v>
      </c>
      <c r="E147" s="15" t="s">
        <v>175</v>
      </c>
      <c r="F147" s="15"/>
      <c r="G147" s="13">
        <v>0</v>
      </c>
    </row>
    <row r="148" spans="1:7" ht="28.5" customHeight="1" thickBot="1" x14ac:dyDescent="0.3">
      <c r="A148" s="51"/>
      <c r="B148" s="55"/>
      <c r="C148" s="55"/>
      <c r="D148" s="11">
        <v>1</v>
      </c>
      <c r="E148" s="15" t="s">
        <v>176</v>
      </c>
      <c r="F148" s="15"/>
      <c r="G148" s="13">
        <v>0</v>
      </c>
    </row>
    <row r="149" spans="1:7" ht="28.5" customHeight="1" thickBot="1" x14ac:dyDescent="0.3">
      <c r="A149" s="51"/>
      <c r="B149" s="55"/>
      <c r="C149" s="56"/>
      <c r="D149" s="11">
        <v>1</v>
      </c>
      <c r="E149" s="15" t="s">
        <v>177</v>
      </c>
      <c r="F149" s="15"/>
      <c r="G149" s="13">
        <v>0</v>
      </c>
    </row>
    <row r="150" spans="1:7" ht="28.5" customHeight="1" thickBot="1" x14ac:dyDescent="0.3">
      <c r="A150" s="51"/>
      <c r="B150" s="55"/>
      <c r="C150" s="54" t="s">
        <v>178</v>
      </c>
      <c r="D150" s="11">
        <v>1</v>
      </c>
      <c r="E150" s="15" t="s">
        <v>179</v>
      </c>
      <c r="F150" s="15"/>
      <c r="G150" s="13">
        <v>0</v>
      </c>
    </row>
    <row r="151" spans="1:7" ht="28.5" customHeight="1" thickBot="1" x14ac:dyDescent="0.3">
      <c r="A151" s="51"/>
      <c r="B151" s="55"/>
      <c r="C151" s="55"/>
      <c r="D151" s="11">
        <v>1</v>
      </c>
      <c r="E151" s="15" t="s">
        <v>180</v>
      </c>
      <c r="F151" s="15"/>
      <c r="G151" s="13">
        <v>0</v>
      </c>
    </row>
    <row r="152" spans="1:7" ht="28.5" customHeight="1" thickBot="1" x14ac:dyDescent="0.3">
      <c r="A152" s="51"/>
      <c r="B152" s="55"/>
      <c r="C152" s="55"/>
      <c r="D152" s="11">
        <v>1</v>
      </c>
      <c r="E152" s="15" t="s">
        <v>181</v>
      </c>
      <c r="F152" s="15"/>
      <c r="G152" s="13">
        <v>1</v>
      </c>
    </row>
    <row r="153" spans="1:7" ht="28.5" customHeight="1" thickBot="1" x14ac:dyDescent="0.3">
      <c r="A153" s="51"/>
      <c r="B153" s="55"/>
      <c r="C153" s="56"/>
      <c r="D153" s="11">
        <v>1</v>
      </c>
      <c r="E153" s="15" t="s">
        <v>182</v>
      </c>
      <c r="F153" s="15"/>
      <c r="G153" s="13">
        <v>0</v>
      </c>
    </row>
    <row r="154" spans="1:7" ht="28.5" customHeight="1" thickBot="1" x14ac:dyDescent="0.3">
      <c r="A154" s="51"/>
      <c r="B154" s="55"/>
      <c r="C154" s="54" t="s">
        <v>183</v>
      </c>
      <c r="D154" s="11">
        <v>1</v>
      </c>
      <c r="E154" s="15" t="s">
        <v>184</v>
      </c>
      <c r="F154" s="15"/>
      <c r="G154" s="13">
        <v>0</v>
      </c>
    </row>
    <row r="155" spans="1:7" ht="28.5" customHeight="1" thickBot="1" x14ac:dyDescent="0.3">
      <c r="A155" s="51"/>
      <c r="B155" s="55"/>
      <c r="C155" s="55"/>
      <c r="D155" s="11">
        <v>1</v>
      </c>
      <c r="E155" s="15" t="s">
        <v>185</v>
      </c>
      <c r="F155" s="15"/>
      <c r="G155" s="13">
        <v>0</v>
      </c>
    </row>
    <row r="156" spans="1:7" ht="28.5" customHeight="1" thickBot="1" x14ac:dyDescent="0.3">
      <c r="A156" s="51"/>
      <c r="B156" s="55"/>
      <c r="C156" s="55"/>
      <c r="D156" s="11">
        <v>1</v>
      </c>
      <c r="E156" s="15" t="s">
        <v>186</v>
      </c>
      <c r="F156" s="15"/>
      <c r="G156" s="13">
        <v>0</v>
      </c>
    </row>
    <row r="157" spans="1:7" ht="28.5" customHeight="1" thickBot="1" x14ac:dyDescent="0.3">
      <c r="A157" s="51"/>
      <c r="B157" s="55"/>
      <c r="C157" s="55"/>
      <c r="D157" s="11">
        <v>1</v>
      </c>
      <c r="E157" s="15" t="s">
        <v>187</v>
      </c>
      <c r="F157" s="15"/>
      <c r="G157" s="13">
        <v>0</v>
      </c>
    </row>
    <row r="158" spans="1:7" ht="28.5" customHeight="1" thickBot="1" x14ac:dyDescent="0.3">
      <c r="A158" s="51"/>
      <c r="B158" s="55"/>
      <c r="C158" s="56"/>
      <c r="D158" s="11">
        <v>1</v>
      </c>
      <c r="E158" s="15" t="s">
        <v>188</v>
      </c>
      <c r="F158" s="15"/>
      <c r="G158" s="13">
        <v>0</v>
      </c>
    </row>
    <row r="159" spans="1:7" ht="28.5" customHeight="1" thickBot="1" x14ac:dyDescent="0.3">
      <c r="A159" s="51"/>
      <c r="B159" s="55"/>
      <c r="C159" s="54" t="s">
        <v>189</v>
      </c>
      <c r="D159" s="11">
        <v>1</v>
      </c>
      <c r="E159" s="15" t="s">
        <v>190</v>
      </c>
      <c r="F159" s="15"/>
      <c r="G159" s="13">
        <v>1</v>
      </c>
    </row>
    <row r="160" spans="1:7" ht="28.5" customHeight="1" thickBot="1" x14ac:dyDescent="0.3">
      <c r="A160" s="51"/>
      <c r="B160" s="55"/>
      <c r="C160" s="56"/>
      <c r="D160" s="11">
        <v>1</v>
      </c>
      <c r="E160" s="15" t="s">
        <v>191</v>
      </c>
      <c r="F160" s="15"/>
      <c r="G160" s="13">
        <v>0</v>
      </c>
    </row>
    <row r="161" spans="1:27" ht="28.5" customHeight="1" thickBot="1" x14ac:dyDescent="0.3">
      <c r="A161" s="51"/>
      <c r="B161" s="55"/>
      <c r="C161" s="54" t="s">
        <v>192</v>
      </c>
      <c r="D161" s="11">
        <v>1</v>
      </c>
      <c r="E161" s="15" t="s">
        <v>193</v>
      </c>
      <c r="F161" s="15"/>
      <c r="G161" s="13">
        <v>0</v>
      </c>
    </row>
    <row r="162" spans="1:27" ht="28.5" customHeight="1" thickBot="1" x14ac:dyDescent="0.3">
      <c r="A162" s="51"/>
      <c r="B162" s="56"/>
      <c r="C162" s="56"/>
      <c r="D162" s="11">
        <v>1</v>
      </c>
      <c r="E162" s="15" t="s">
        <v>194</v>
      </c>
      <c r="F162" s="15"/>
      <c r="G162" s="13">
        <v>0</v>
      </c>
    </row>
    <row r="163" spans="1:27" ht="16.5" customHeight="1" thickBot="1" x14ac:dyDescent="0.4">
      <c r="A163" s="51"/>
      <c r="B163" s="23"/>
      <c r="C163" s="25"/>
      <c r="D163" s="26"/>
      <c r="E163" s="24"/>
      <c r="F163" s="19">
        <f t="shared" ref="F163:G163" si="3">(SUM(F127:F162)/36)</f>
        <v>0</v>
      </c>
      <c r="G163" s="19">
        <f t="shared" si="3"/>
        <v>5.5555555555555552E-2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 ht="28.5" customHeight="1" thickBot="1" x14ac:dyDescent="0.3">
      <c r="A164" s="51"/>
      <c r="B164" s="60" t="s">
        <v>195</v>
      </c>
      <c r="C164" s="57" t="s">
        <v>196</v>
      </c>
      <c r="D164" s="11">
        <v>1</v>
      </c>
      <c r="E164" s="15" t="s">
        <v>197</v>
      </c>
      <c r="F164" s="15"/>
      <c r="G164" s="13">
        <v>0</v>
      </c>
    </row>
    <row r="165" spans="1:27" ht="28.5" customHeight="1" thickBot="1" x14ac:dyDescent="0.3">
      <c r="A165" s="51"/>
      <c r="B165" s="55"/>
      <c r="C165" s="55"/>
      <c r="D165" s="11">
        <v>1</v>
      </c>
      <c r="E165" s="15" t="s">
        <v>198</v>
      </c>
      <c r="F165" s="15"/>
      <c r="G165" s="13">
        <v>0</v>
      </c>
    </row>
    <row r="166" spans="1:27" ht="28.5" customHeight="1" thickBot="1" x14ac:dyDescent="0.3">
      <c r="A166" s="51"/>
      <c r="B166" s="55"/>
      <c r="C166" s="55"/>
      <c r="D166" s="11">
        <v>1</v>
      </c>
      <c r="E166" s="15" t="s">
        <v>199</v>
      </c>
      <c r="F166" s="15"/>
      <c r="G166" s="13">
        <v>0</v>
      </c>
    </row>
    <row r="167" spans="1:27" ht="28.5" customHeight="1" thickBot="1" x14ac:dyDescent="0.3">
      <c r="A167" s="51"/>
      <c r="B167" s="55"/>
      <c r="C167" s="56"/>
      <c r="D167" s="11">
        <v>1</v>
      </c>
      <c r="E167" s="15" t="s">
        <v>200</v>
      </c>
      <c r="F167" s="15"/>
      <c r="G167" s="13">
        <v>0</v>
      </c>
    </row>
    <row r="168" spans="1:27" ht="28.5" customHeight="1" thickBot="1" x14ac:dyDescent="0.3">
      <c r="A168" s="51"/>
      <c r="B168" s="55"/>
      <c r="C168" s="57" t="s">
        <v>201</v>
      </c>
      <c r="D168" s="27">
        <v>1</v>
      </c>
      <c r="E168" s="15" t="s">
        <v>202</v>
      </c>
      <c r="F168" s="15"/>
      <c r="G168" s="13">
        <v>0</v>
      </c>
    </row>
    <row r="169" spans="1:27" ht="28.5" customHeight="1" thickBot="1" x14ac:dyDescent="0.3">
      <c r="A169" s="51"/>
      <c r="B169" s="55"/>
      <c r="C169" s="55"/>
      <c r="D169" s="27">
        <v>1</v>
      </c>
      <c r="E169" s="15" t="s">
        <v>203</v>
      </c>
      <c r="F169" s="15"/>
      <c r="G169" s="13">
        <v>0</v>
      </c>
    </row>
    <row r="170" spans="1:27" ht="28.5" customHeight="1" thickBot="1" x14ac:dyDescent="0.3">
      <c r="A170" s="51"/>
      <c r="B170" s="55"/>
      <c r="C170" s="55"/>
      <c r="D170" s="27">
        <v>1</v>
      </c>
      <c r="E170" s="15" t="s">
        <v>204</v>
      </c>
      <c r="F170" s="15"/>
      <c r="G170" s="13">
        <v>0</v>
      </c>
    </row>
    <row r="171" spans="1:27" ht="28.5" customHeight="1" thickBot="1" x14ac:dyDescent="0.3">
      <c r="A171" s="51"/>
      <c r="B171" s="55"/>
      <c r="C171" s="55"/>
      <c r="D171" s="27">
        <v>1</v>
      </c>
      <c r="E171" s="15" t="s">
        <v>205</v>
      </c>
      <c r="F171" s="15"/>
      <c r="G171" s="13">
        <v>0</v>
      </c>
    </row>
    <row r="172" spans="1:27" ht="28.5" customHeight="1" thickBot="1" x14ac:dyDescent="0.3">
      <c r="A172" s="51"/>
      <c r="B172" s="55"/>
      <c r="C172" s="55"/>
      <c r="D172" s="27">
        <v>1</v>
      </c>
      <c r="E172" s="15" t="s">
        <v>206</v>
      </c>
      <c r="F172" s="15"/>
      <c r="G172" s="13">
        <v>0</v>
      </c>
    </row>
    <row r="173" spans="1:27" ht="28.5" customHeight="1" thickBot="1" x14ac:dyDescent="0.3">
      <c r="A173" s="51"/>
      <c r="B173" s="55"/>
      <c r="C173" s="55"/>
      <c r="D173" s="27">
        <v>1</v>
      </c>
      <c r="E173" s="15" t="s">
        <v>207</v>
      </c>
      <c r="F173" s="15"/>
      <c r="G173" s="13">
        <v>0</v>
      </c>
    </row>
    <row r="174" spans="1:27" ht="28.5" customHeight="1" thickBot="1" x14ac:dyDescent="0.3">
      <c r="A174" s="51"/>
      <c r="B174" s="55"/>
      <c r="C174" s="56"/>
      <c r="D174" s="27">
        <v>1</v>
      </c>
      <c r="E174" s="15" t="s">
        <v>208</v>
      </c>
      <c r="F174" s="15"/>
      <c r="G174" s="13">
        <v>0</v>
      </c>
    </row>
    <row r="175" spans="1:27" ht="28.5" customHeight="1" thickBot="1" x14ac:dyDescent="0.3">
      <c r="A175" s="51"/>
      <c r="B175" s="55"/>
      <c r="C175" s="57" t="s">
        <v>209</v>
      </c>
      <c r="D175" s="27">
        <v>1</v>
      </c>
      <c r="E175" s="15" t="s">
        <v>210</v>
      </c>
      <c r="F175" s="15"/>
      <c r="G175" s="13"/>
    </row>
    <row r="176" spans="1:27" ht="28.5" customHeight="1" thickBot="1" x14ac:dyDescent="0.3">
      <c r="A176" s="51"/>
      <c r="B176" s="55"/>
      <c r="C176" s="56"/>
      <c r="D176" s="27">
        <v>1</v>
      </c>
      <c r="E176" s="15" t="s">
        <v>211</v>
      </c>
      <c r="F176" s="15"/>
      <c r="G176" s="13">
        <v>0</v>
      </c>
    </row>
    <row r="177" spans="1:27" ht="28.5" customHeight="1" thickBot="1" x14ac:dyDescent="0.3">
      <c r="A177" s="51"/>
      <c r="B177" s="55"/>
      <c r="C177" s="57" t="s">
        <v>212</v>
      </c>
      <c r="D177" s="27">
        <v>1</v>
      </c>
      <c r="E177" s="15" t="s">
        <v>213</v>
      </c>
      <c r="F177" s="15"/>
      <c r="G177" s="13">
        <v>0</v>
      </c>
    </row>
    <row r="178" spans="1:27" ht="28.5" customHeight="1" thickBot="1" x14ac:dyDescent="0.3">
      <c r="A178" s="51"/>
      <c r="B178" s="55"/>
      <c r="C178" s="55"/>
      <c r="D178" s="27">
        <v>1</v>
      </c>
      <c r="E178" s="15" t="s">
        <v>214</v>
      </c>
      <c r="F178" s="15"/>
      <c r="G178" s="13">
        <v>0</v>
      </c>
    </row>
    <row r="179" spans="1:27" ht="28.5" customHeight="1" thickBot="1" x14ac:dyDescent="0.3">
      <c r="A179" s="51"/>
      <c r="B179" s="55"/>
      <c r="C179" s="55"/>
      <c r="D179" s="27">
        <v>1</v>
      </c>
      <c r="E179" s="15" t="s">
        <v>215</v>
      </c>
      <c r="F179" s="15"/>
      <c r="G179" s="13">
        <v>0</v>
      </c>
    </row>
    <row r="180" spans="1:27" ht="28.5" customHeight="1" thickBot="1" x14ac:dyDescent="0.3">
      <c r="A180" s="51"/>
      <c r="B180" s="55"/>
      <c r="C180" s="55"/>
      <c r="D180" s="27">
        <v>1</v>
      </c>
      <c r="E180" s="15" t="s">
        <v>216</v>
      </c>
      <c r="F180" s="15"/>
      <c r="G180" s="13">
        <v>0</v>
      </c>
    </row>
    <row r="181" spans="1:27" ht="28.5" customHeight="1" thickBot="1" x14ac:dyDescent="0.3">
      <c r="A181" s="51"/>
      <c r="B181" s="55"/>
      <c r="C181" s="55"/>
      <c r="D181" s="27">
        <v>1</v>
      </c>
      <c r="E181" s="15" t="s">
        <v>217</v>
      </c>
      <c r="F181" s="15"/>
      <c r="G181" s="13">
        <v>0</v>
      </c>
    </row>
    <row r="182" spans="1:27" ht="28.5" customHeight="1" thickBot="1" x14ac:dyDescent="0.3">
      <c r="A182" s="51"/>
      <c r="B182" s="55"/>
      <c r="C182" s="56"/>
      <c r="D182" s="27">
        <v>1</v>
      </c>
      <c r="E182" s="15" t="s">
        <v>218</v>
      </c>
      <c r="F182" s="15"/>
      <c r="G182" s="13">
        <v>0</v>
      </c>
    </row>
    <row r="183" spans="1:27" ht="28.5" customHeight="1" thickBot="1" x14ac:dyDescent="0.3">
      <c r="A183" s="51"/>
      <c r="B183" s="55"/>
      <c r="C183" s="57" t="s">
        <v>219</v>
      </c>
      <c r="D183" s="27">
        <v>1</v>
      </c>
      <c r="E183" s="15" t="s">
        <v>220</v>
      </c>
      <c r="F183" s="15"/>
      <c r="G183" s="13">
        <v>0</v>
      </c>
    </row>
    <row r="184" spans="1:27" ht="28.5" customHeight="1" thickBot="1" x14ac:dyDescent="0.3">
      <c r="A184" s="51"/>
      <c r="B184" s="55"/>
      <c r="C184" s="55"/>
      <c r="D184" s="27">
        <v>1</v>
      </c>
      <c r="E184" s="15" t="s">
        <v>221</v>
      </c>
      <c r="F184" s="15"/>
      <c r="G184" s="13">
        <v>0</v>
      </c>
    </row>
    <row r="185" spans="1:27" ht="28.5" customHeight="1" thickBot="1" x14ac:dyDescent="0.3">
      <c r="A185" s="51"/>
      <c r="B185" s="55"/>
      <c r="C185" s="55"/>
      <c r="D185" s="27">
        <v>1</v>
      </c>
      <c r="E185" s="15" t="s">
        <v>222</v>
      </c>
      <c r="F185" s="15"/>
      <c r="G185" s="13">
        <v>0</v>
      </c>
    </row>
    <row r="186" spans="1:27" ht="28.5" customHeight="1" thickBot="1" x14ac:dyDescent="0.3">
      <c r="A186" s="51"/>
      <c r="B186" s="56"/>
      <c r="C186" s="56"/>
      <c r="D186" s="27">
        <v>1</v>
      </c>
      <c r="E186" s="15" t="s">
        <v>223</v>
      </c>
      <c r="F186" s="15"/>
      <c r="G186" s="13">
        <v>0</v>
      </c>
    </row>
    <row r="187" spans="1:27" ht="16.5" customHeight="1" thickBot="1" x14ac:dyDescent="0.4">
      <c r="A187" s="51"/>
      <c r="B187" s="23"/>
      <c r="C187" s="24"/>
      <c r="D187" s="28"/>
      <c r="E187" s="24"/>
      <c r="F187" s="19">
        <f t="shared" ref="F187:G187" si="4">(SUM(F164:F186)/23)</f>
        <v>0</v>
      </c>
      <c r="G187" s="19">
        <f t="shared" si="4"/>
        <v>0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 ht="28.5" customHeight="1" thickBot="1" x14ac:dyDescent="0.3">
      <c r="A188" s="51"/>
      <c r="B188" s="61" t="s">
        <v>224</v>
      </c>
      <c r="C188" s="54" t="s">
        <v>225</v>
      </c>
      <c r="D188" s="27">
        <v>1</v>
      </c>
      <c r="E188" s="15" t="s">
        <v>226</v>
      </c>
      <c r="F188" s="15"/>
      <c r="G188" s="13">
        <v>0</v>
      </c>
    </row>
    <row r="189" spans="1:27" ht="28.5" customHeight="1" thickBot="1" x14ac:dyDescent="0.3">
      <c r="A189" s="51"/>
      <c r="B189" s="55"/>
      <c r="C189" s="55"/>
      <c r="D189" s="27">
        <v>1</v>
      </c>
      <c r="E189" s="15" t="s">
        <v>227</v>
      </c>
      <c r="F189" s="15"/>
      <c r="G189" s="13">
        <v>0</v>
      </c>
    </row>
    <row r="190" spans="1:27" ht="28.5" customHeight="1" thickBot="1" x14ac:dyDescent="0.3">
      <c r="A190" s="51"/>
      <c r="B190" s="55"/>
      <c r="C190" s="55"/>
      <c r="D190" s="27">
        <v>1</v>
      </c>
      <c r="E190" s="15" t="s">
        <v>228</v>
      </c>
      <c r="F190" s="15"/>
      <c r="G190" s="13">
        <v>0</v>
      </c>
    </row>
    <row r="191" spans="1:27" ht="28.5" customHeight="1" thickBot="1" x14ac:dyDescent="0.3">
      <c r="A191" s="51"/>
      <c r="B191" s="55"/>
      <c r="C191" s="56"/>
      <c r="D191" s="27">
        <v>1</v>
      </c>
      <c r="E191" s="15" t="s">
        <v>229</v>
      </c>
      <c r="F191" s="15"/>
      <c r="G191" s="13">
        <v>1</v>
      </c>
    </row>
    <row r="192" spans="1:27" ht="28.5" customHeight="1" thickBot="1" x14ac:dyDescent="0.3">
      <c r="A192" s="51"/>
      <c r="B192" s="55"/>
      <c r="C192" s="54" t="s">
        <v>230</v>
      </c>
      <c r="D192" s="27">
        <v>1</v>
      </c>
      <c r="E192" s="15" t="s">
        <v>231</v>
      </c>
      <c r="F192" s="15"/>
      <c r="G192" s="13">
        <v>1</v>
      </c>
    </row>
    <row r="193" spans="1:7" ht="28.5" customHeight="1" thickBot="1" x14ac:dyDescent="0.3">
      <c r="A193" s="51"/>
      <c r="B193" s="55"/>
      <c r="C193" s="55"/>
      <c r="D193" s="27">
        <v>1</v>
      </c>
      <c r="E193" s="15" t="s">
        <v>232</v>
      </c>
      <c r="F193" s="15"/>
      <c r="G193" s="13">
        <v>0</v>
      </c>
    </row>
    <row r="194" spans="1:7" ht="28.5" customHeight="1" thickBot="1" x14ac:dyDescent="0.3">
      <c r="A194" s="51"/>
      <c r="B194" s="55"/>
      <c r="C194" s="55"/>
      <c r="D194" s="27">
        <v>1</v>
      </c>
      <c r="E194" s="15" t="s">
        <v>233</v>
      </c>
      <c r="F194" s="15"/>
      <c r="G194" s="13">
        <v>1</v>
      </c>
    </row>
    <row r="195" spans="1:7" ht="28.5" customHeight="1" thickBot="1" x14ac:dyDescent="0.3">
      <c r="A195" s="51"/>
      <c r="B195" s="55"/>
      <c r="C195" s="55"/>
      <c r="D195" s="27">
        <v>1</v>
      </c>
      <c r="E195" s="15" t="s">
        <v>234</v>
      </c>
      <c r="F195" s="15"/>
      <c r="G195" s="13">
        <v>0</v>
      </c>
    </row>
    <row r="196" spans="1:7" ht="28.5" customHeight="1" thickBot="1" x14ac:dyDescent="0.3">
      <c r="A196" s="51"/>
      <c r="B196" s="55"/>
      <c r="C196" s="55"/>
      <c r="D196" s="27">
        <v>1</v>
      </c>
      <c r="E196" s="15" t="s">
        <v>235</v>
      </c>
      <c r="F196" s="15"/>
      <c r="G196" s="13">
        <v>1</v>
      </c>
    </row>
    <row r="197" spans="1:7" ht="28.5" customHeight="1" thickBot="1" x14ac:dyDescent="0.3">
      <c r="A197" s="51"/>
      <c r="B197" s="55"/>
      <c r="C197" s="56"/>
      <c r="D197" s="27">
        <v>1</v>
      </c>
      <c r="E197" s="15" t="s">
        <v>236</v>
      </c>
      <c r="F197" s="15"/>
      <c r="G197" s="13">
        <v>0</v>
      </c>
    </row>
    <row r="198" spans="1:7" ht="28.5" customHeight="1" thickBot="1" x14ac:dyDescent="0.3">
      <c r="A198" s="51"/>
      <c r="B198" s="55"/>
      <c r="C198" s="54" t="s">
        <v>237</v>
      </c>
      <c r="D198" s="27">
        <v>1</v>
      </c>
      <c r="E198" s="15" t="s">
        <v>238</v>
      </c>
      <c r="F198" s="15"/>
      <c r="G198" s="13">
        <v>0</v>
      </c>
    </row>
    <row r="199" spans="1:7" ht="28.5" customHeight="1" thickBot="1" x14ac:dyDescent="0.3">
      <c r="A199" s="51"/>
      <c r="B199" s="55"/>
      <c r="C199" s="55"/>
      <c r="D199" s="27">
        <v>1</v>
      </c>
      <c r="E199" s="15" t="s">
        <v>239</v>
      </c>
      <c r="F199" s="15"/>
      <c r="G199" s="13">
        <v>0</v>
      </c>
    </row>
    <row r="200" spans="1:7" ht="28.5" customHeight="1" thickBot="1" x14ac:dyDescent="0.3">
      <c r="A200" s="51"/>
      <c r="B200" s="55"/>
      <c r="C200" s="55"/>
      <c r="D200" s="27">
        <v>1</v>
      </c>
      <c r="E200" s="15" t="s">
        <v>240</v>
      </c>
      <c r="F200" s="15"/>
      <c r="G200" s="13">
        <v>0</v>
      </c>
    </row>
    <row r="201" spans="1:7" ht="28.5" customHeight="1" thickBot="1" x14ac:dyDescent="0.3">
      <c r="A201" s="51"/>
      <c r="B201" s="55"/>
      <c r="C201" s="56"/>
      <c r="D201" s="27">
        <v>1</v>
      </c>
      <c r="E201" s="15" t="s">
        <v>241</v>
      </c>
      <c r="F201" s="15"/>
      <c r="G201" s="13">
        <v>0</v>
      </c>
    </row>
    <row r="202" spans="1:7" ht="28.5" customHeight="1" thickBot="1" x14ac:dyDescent="0.3">
      <c r="A202" s="51"/>
      <c r="B202" s="55"/>
      <c r="C202" s="54" t="s">
        <v>242</v>
      </c>
      <c r="D202" s="27">
        <v>1</v>
      </c>
      <c r="E202" s="15" t="s">
        <v>243</v>
      </c>
      <c r="F202" s="15"/>
      <c r="G202" s="13">
        <v>0</v>
      </c>
    </row>
    <row r="203" spans="1:7" ht="28.5" customHeight="1" thickBot="1" x14ac:dyDescent="0.3">
      <c r="A203" s="51"/>
      <c r="B203" s="55"/>
      <c r="C203" s="55"/>
      <c r="D203" s="27">
        <v>1</v>
      </c>
      <c r="E203" s="15" t="s">
        <v>244</v>
      </c>
      <c r="F203" s="15"/>
      <c r="G203" s="13">
        <v>0</v>
      </c>
    </row>
    <row r="204" spans="1:7" ht="28.5" customHeight="1" thickBot="1" x14ac:dyDescent="0.3">
      <c r="A204" s="51"/>
      <c r="B204" s="56"/>
      <c r="C204" s="56"/>
      <c r="D204" s="27">
        <v>1</v>
      </c>
      <c r="E204" s="15" t="s">
        <v>245</v>
      </c>
      <c r="F204" s="15"/>
      <c r="G204" s="13">
        <v>0</v>
      </c>
    </row>
    <row r="205" spans="1:7" ht="16.5" customHeight="1" thickBot="1" x14ac:dyDescent="0.4">
      <c r="A205" s="51"/>
      <c r="B205" s="23"/>
      <c r="C205" s="29"/>
      <c r="D205" s="28"/>
      <c r="E205" s="24"/>
      <c r="F205" s="19">
        <f t="shared" ref="F205:G205" si="5">(SUM(F188:F204)/17)</f>
        <v>0</v>
      </c>
      <c r="G205" s="19">
        <f t="shared" si="5"/>
        <v>0.23529411764705882</v>
      </c>
    </row>
    <row r="206" spans="1:7" ht="28.5" customHeight="1" thickBot="1" x14ac:dyDescent="0.3">
      <c r="A206" s="51" t="s">
        <v>309</v>
      </c>
      <c r="B206" s="60" t="s">
        <v>246</v>
      </c>
      <c r="C206" s="57" t="s">
        <v>247</v>
      </c>
      <c r="D206" s="27">
        <v>1</v>
      </c>
      <c r="E206" s="15" t="s">
        <v>248</v>
      </c>
      <c r="F206" s="15"/>
      <c r="G206" s="13">
        <v>0</v>
      </c>
    </row>
    <row r="207" spans="1:7" ht="28.5" customHeight="1" thickBot="1" x14ac:dyDescent="0.3">
      <c r="A207" s="52"/>
      <c r="B207" s="55"/>
      <c r="C207" s="55"/>
      <c r="D207" s="27">
        <v>1</v>
      </c>
      <c r="E207" s="15" t="s">
        <v>249</v>
      </c>
      <c r="F207" s="15"/>
      <c r="G207" s="13">
        <v>0</v>
      </c>
    </row>
    <row r="208" spans="1:7" ht="28.5" customHeight="1" thickBot="1" x14ac:dyDescent="0.3">
      <c r="A208" s="52"/>
      <c r="B208" s="55"/>
      <c r="C208" s="55"/>
      <c r="D208" s="27">
        <v>1</v>
      </c>
      <c r="E208" s="15" t="s">
        <v>250</v>
      </c>
      <c r="F208" s="15"/>
      <c r="G208" s="13">
        <v>0</v>
      </c>
    </row>
    <row r="209" spans="1:7" ht="28.5" customHeight="1" thickBot="1" x14ac:dyDescent="0.3">
      <c r="A209" s="52"/>
      <c r="B209" s="55"/>
      <c r="C209" s="55"/>
      <c r="D209" s="27">
        <v>1</v>
      </c>
      <c r="E209" s="15" t="s">
        <v>251</v>
      </c>
      <c r="F209" s="15"/>
      <c r="G209" s="13">
        <v>0</v>
      </c>
    </row>
    <row r="210" spans="1:7" ht="28.5" customHeight="1" thickBot="1" x14ac:dyDescent="0.3">
      <c r="A210" s="52"/>
      <c r="B210" s="55"/>
      <c r="C210" s="55"/>
      <c r="D210" s="27">
        <v>1</v>
      </c>
      <c r="E210" s="15" t="s">
        <v>252</v>
      </c>
      <c r="F210" s="15"/>
      <c r="G210" s="13">
        <v>0</v>
      </c>
    </row>
    <row r="211" spans="1:7" ht="28.5" customHeight="1" thickBot="1" x14ac:dyDescent="0.3">
      <c r="A211" s="52"/>
      <c r="B211" s="55"/>
      <c r="C211" s="55"/>
      <c r="D211" s="27">
        <v>1</v>
      </c>
      <c r="E211" s="15" t="s">
        <v>253</v>
      </c>
      <c r="F211" s="15"/>
      <c r="G211" s="13">
        <v>0</v>
      </c>
    </row>
    <row r="212" spans="1:7" ht="28.5" customHeight="1" thickBot="1" x14ac:dyDescent="0.3">
      <c r="A212" s="52"/>
      <c r="B212" s="55"/>
      <c r="C212" s="56"/>
      <c r="D212" s="27">
        <v>1</v>
      </c>
      <c r="E212" s="15" t="s">
        <v>254</v>
      </c>
      <c r="F212" s="15"/>
      <c r="G212" s="13">
        <v>0</v>
      </c>
    </row>
    <row r="213" spans="1:7" ht="28.5" customHeight="1" thickBot="1" x14ac:dyDescent="0.3">
      <c r="A213" s="52"/>
      <c r="B213" s="55"/>
      <c r="C213" s="57" t="s">
        <v>255</v>
      </c>
      <c r="D213" s="27">
        <v>1</v>
      </c>
      <c r="E213" s="15" t="s">
        <v>256</v>
      </c>
      <c r="F213" s="15"/>
      <c r="G213" s="13">
        <v>0</v>
      </c>
    </row>
    <row r="214" spans="1:7" ht="28.5" customHeight="1" thickBot="1" x14ac:dyDescent="0.3">
      <c r="A214" s="52"/>
      <c r="B214" s="55"/>
      <c r="C214" s="55"/>
      <c r="D214" s="27">
        <v>1</v>
      </c>
      <c r="E214" s="15" t="s">
        <v>257</v>
      </c>
      <c r="F214" s="15"/>
      <c r="G214" s="13">
        <v>0</v>
      </c>
    </row>
    <row r="215" spans="1:7" ht="28.5" customHeight="1" thickBot="1" x14ac:dyDescent="0.3">
      <c r="A215" s="52"/>
      <c r="B215" s="55"/>
      <c r="C215" s="55"/>
      <c r="D215" s="27">
        <v>1</v>
      </c>
      <c r="E215" s="15" t="s">
        <v>258</v>
      </c>
      <c r="F215" s="15"/>
      <c r="G215" s="13">
        <v>0</v>
      </c>
    </row>
    <row r="216" spans="1:7" ht="28.5" customHeight="1" thickBot="1" x14ac:dyDescent="0.3">
      <c r="A216" s="52"/>
      <c r="B216" s="55"/>
      <c r="C216" s="56"/>
      <c r="D216" s="27">
        <v>1</v>
      </c>
      <c r="E216" s="15" t="s">
        <v>259</v>
      </c>
      <c r="F216" s="15"/>
      <c r="G216" s="13">
        <v>0</v>
      </c>
    </row>
    <row r="217" spans="1:7" ht="28.5" customHeight="1" thickBot="1" x14ac:dyDescent="0.3">
      <c r="A217" s="52"/>
      <c r="B217" s="55"/>
      <c r="C217" s="57" t="s">
        <v>260</v>
      </c>
      <c r="D217" s="27">
        <v>1</v>
      </c>
      <c r="E217" s="15" t="s">
        <v>261</v>
      </c>
      <c r="F217" s="15"/>
      <c r="G217" s="13">
        <v>0</v>
      </c>
    </row>
    <row r="218" spans="1:7" ht="28.5" customHeight="1" thickBot="1" x14ac:dyDescent="0.3">
      <c r="A218" s="52"/>
      <c r="B218" s="55"/>
      <c r="C218" s="55"/>
      <c r="D218" s="27">
        <v>1</v>
      </c>
      <c r="E218" s="15" t="s">
        <v>262</v>
      </c>
      <c r="F218" s="15"/>
      <c r="G218" s="13">
        <v>1</v>
      </c>
    </row>
    <row r="219" spans="1:7" ht="28.5" customHeight="1" thickBot="1" x14ac:dyDescent="0.3">
      <c r="A219" s="52"/>
      <c r="B219" s="55"/>
      <c r="C219" s="56"/>
      <c r="D219" s="27">
        <v>1</v>
      </c>
      <c r="E219" s="15" t="s">
        <v>263</v>
      </c>
      <c r="F219" s="15"/>
      <c r="G219" s="13">
        <v>0</v>
      </c>
    </row>
    <row r="220" spans="1:7" ht="28.5" customHeight="1" thickBot="1" x14ac:dyDescent="0.3">
      <c r="A220" s="52"/>
      <c r="B220" s="55"/>
      <c r="C220" s="57" t="s">
        <v>264</v>
      </c>
      <c r="D220" s="27">
        <v>1</v>
      </c>
      <c r="E220" s="15" t="s">
        <v>265</v>
      </c>
      <c r="F220" s="15"/>
      <c r="G220" s="13">
        <v>1</v>
      </c>
    </row>
    <row r="221" spans="1:7" ht="28.5" customHeight="1" thickBot="1" x14ac:dyDescent="0.3">
      <c r="A221" s="52"/>
      <c r="B221" s="55"/>
      <c r="C221" s="55"/>
      <c r="D221" s="27">
        <v>1</v>
      </c>
      <c r="E221" s="15" t="s">
        <v>266</v>
      </c>
      <c r="F221" s="15"/>
      <c r="G221" s="13">
        <v>1</v>
      </c>
    </row>
    <row r="222" spans="1:7" ht="28.5" customHeight="1" thickBot="1" x14ac:dyDescent="0.3">
      <c r="A222" s="52"/>
      <c r="B222" s="55"/>
      <c r="C222" s="66"/>
      <c r="D222" s="27">
        <v>1</v>
      </c>
      <c r="E222" s="15" t="s">
        <v>267</v>
      </c>
      <c r="F222" s="15"/>
      <c r="G222" s="13">
        <v>1</v>
      </c>
    </row>
    <row r="223" spans="1:7" ht="28.5" customHeight="1" thickBot="1" x14ac:dyDescent="0.3">
      <c r="A223" s="52"/>
      <c r="B223" s="55"/>
      <c r="C223" s="57" t="s">
        <v>268</v>
      </c>
      <c r="D223" s="27">
        <v>1</v>
      </c>
      <c r="E223" s="15" t="s">
        <v>269</v>
      </c>
      <c r="F223" s="15"/>
      <c r="G223" s="13">
        <v>1</v>
      </c>
    </row>
    <row r="224" spans="1:7" ht="28.5" customHeight="1" thickBot="1" x14ac:dyDescent="0.3">
      <c r="A224" s="52"/>
      <c r="B224" s="55"/>
      <c r="C224" s="55"/>
      <c r="D224" s="27">
        <v>1</v>
      </c>
      <c r="E224" s="15" t="s">
        <v>270</v>
      </c>
      <c r="F224" s="15"/>
      <c r="G224" s="13">
        <v>1</v>
      </c>
    </row>
    <row r="225" spans="1:27" ht="28.5" customHeight="1" thickBot="1" x14ac:dyDescent="0.3">
      <c r="A225" s="52"/>
      <c r="B225" s="55"/>
      <c r="C225" s="55"/>
      <c r="D225" s="27">
        <v>1</v>
      </c>
      <c r="E225" s="15" t="s">
        <v>271</v>
      </c>
      <c r="F225" s="15"/>
      <c r="G225" s="13">
        <v>1</v>
      </c>
    </row>
    <row r="226" spans="1:27" ht="28.5" customHeight="1" thickBot="1" x14ac:dyDescent="0.3">
      <c r="A226" s="52"/>
      <c r="B226" s="55"/>
      <c r="C226" s="55"/>
      <c r="D226" s="27">
        <v>1</v>
      </c>
      <c r="E226" s="15" t="s">
        <v>272</v>
      </c>
      <c r="F226" s="15"/>
      <c r="G226" s="13">
        <v>0</v>
      </c>
    </row>
    <row r="227" spans="1:27" ht="28.5" customHeight="1" thickBot="1" x14ac:dyDescent="0.3">
      <c r="A227" s="52"/>
      <c r="B227" s="55"/>
      <c r="C227" s="55"/>
      <c r="D227" s="27">
        <v>1</v>
      </c>
      <c r="E227" s="15" t="s">
        <v>273</v>
      </c>
      <c r="F227" s="15"/>
      <c r="G227" s="13">
        <v>1</v>
      </c>
    </row>
    <row r="228" spans="1:27" ht="28.5" customHeight="1" thickBot="1" x14ac:dyDescent="0.3">
      <c r="A228" s="52"/>
      <c r="B228" s="56"/>
      <c r="C228" s="56"/>
      <c r="D228" s="27">
        <v>1</v>
      </c>
      <c r="E228" s="15" t="s">
        <v>274</v>
      </c>
      <c r="F228" s="15"/>
      <c r="G228" s="13">
        <v>0</v>
      </c>
    </row>
    <row r="229" spans="1:27" ht="16.5" customHeight="1" thickBot="1" x14ac:dyDescent="0.4">
      <c r="A229" s="52"/>
      <c r="B229" s="23"/>
      <c r="C229" s="24"/>
      <c r="D229" s="28"/>
      <c r="E229" s="24"/>
      <c r="F229" s="19">
        <f t="shared" ref="F229:G229" si="6">(SUM(F206:F228)/23)</f>
        <v>0</v>
      </c>
      <c r="G229" s="19">
        <f t="shared" si="6"/>
        <v>0.34782608695652173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ht="28.5" customHeight="1" thickBot="1" x14ac:dyDescent="0.3">
      <c r="A230" s="52"/>
      <c r="B230" s="61" t="s">
        <v>275</v>
      </c>
      <c r="C230" s="54" t="s">
        <v>276</v>
      </c>
      <c r="D230" s="27">
        <v>1</v>
      </c>
      <c r="E230" s="15" t="s">
        <v>277</v>
      </c>
      <c r="F230" s="15"/>
      <c r="G230" s="13">
        <v>0</v>
      </c>
    </row>
    <row r="231" spans="1:27" ht="28.5" customHeight="1" thickBot="1" x14ac:dyDescent="0.3">
      <c r="A231" s="52"/>
      <c r="B231" s="55"/>
      <c r="C231" s="55"/>
      <c r="D231" s="27">
        <v>1</v>
      </c>
      <c r="E231" s="15" t="s">
        <v>278</v>
      </c>
      <c r="F231" s="15"/>
      <c r="G231" s="13">
        <v>1</v>
      </c>
    </row>
    <row r="232" spans="1:27" ht="28.5" customHeight="1" thickBot="1" x14ac:dyDescent="0.3">
      <c r="A232" s="52"/>
      <c r="B232" s="55"/>
      <c r="C232" s="55"/>
      <c r="D232" s="27">
        <v>1</v>
      </c>
      <c r="E232" s="15" t="s">
        <v>279</v>
      </c>
      <c r="F232" s="15"/>
      <c r="G232" s="13">
        <v>0</v>
      </c>
    </row>
    <row r="233" spans="1:27" ht="28.5" customHeight="1" thickBot="1" x14ac:dyDescent="0.3">
      <c r="A233" s="52"/>
      <c r="B233" s="55"/>
      <c r="C233" s="55"/>
      <c r="D233" s="27">
        <v>1</v>
      </c>
      <c r="E233" s="15" t="s">
        <v>280</v>
      </c>
      <c r="F233" s="15"/>
      <c r="G233" s="13">
        <v>1</v>
      </c>
    </row>
    <row r="234" spans="1:27" ht="28.5" customHeight="1" thickBot="1" x14ac:dyDescent="0.3">
      <c r="A234" s="52"/>
      <c r="B234" s="55"/>
      <c r="C234" s="55"/>
      <c r="D234" s="27">
        <v>1</v>
      </c>
      <c r="E234" s="15" t="s">
        <v>281</v>
      </c>
      <c r="F234" s="15"/>
      <c r="G234" s="13">
        <v>1</v>
      </c>
    </row>
    <row r="235" spans="1:27" ht="28.5" customHeight="1" thickBot="1" x14ac:dyDescent="0.3">
      <c r="A235" s="52"/>
      <c r="B235" s="55"/>
      <c r="C235" s="55"/>
      <c r="D235" s="27">
        <v>1</v>
      </c>
      <c r="E235" s="15" t="s">
        <v>282</v>
      </c>
      <c r="F235" s="15"/>
      <c r="G235" s="13">
        <v>0</v>
      </c>
    </row>
    <row r="236" spans="1:27" ht="28.5" customHeight="1" thickBot="1" x14ac:dyDescent="0.3">
      <c r="A236" s="52"/>
      <c r="B236" s="55"/>
      <c r="C236" s="56"/>
      <c r="D236" s="27">
        <v>1</v>
      </c>
      <c r="E236" s="15" t="s">
        <v>283</v>
      </c>
      <c r="F236" s="15"/>
      <c r="G236" s="13">
        <v>1</v>
      </c>
    </row>
    <row r="237" spans="1:27" ht="28.5" customHeight="1" thickBot="1" x14ac:dyDescent="0.3">
      <c r="A237" s="52"/>
      <c r="B237" s="55"/>
      <c r="C237" s="54" t="s">
        <v>284</v>
      </c>
      <c r="D237" s="27">
        <v>1</v>
      </c>
      <c r="E237" s="15" t="s">
        <v>285</v>
      </c>
      <c r="F237" s="15"/>
      <c r="G237" s="13">
        <v>1</v>
      </c>
    </row>
    <row r="238" spans="1:27" ht="28.5" customHeight="1" thickBot="1" x14ac:dyDescent="0.3">
      <c r="A238" s="52"/>
      <c r="B238" s="55"/>
      <c r="C238" s="55"/>
      <c r="D238" s="27">
        <v>1</v>
      </c>
      <c r="E238" s="15" t="s">
        <v>286</v>
      </c>
      <c r="F238" s="15"/>
      <c r="G238" s="13">
        <v>1</v>
      </c>
    </row>
    <row r="239" spans="1:27" ht="28.5" customHeight="1" thickBot="1" x14ac:dyDescent="0.3">
      <c r="A239" s="52"/>
      <c r="B239" s="55"/>
      <c r="C239" s="56"/>
      <c r="D239" s="27">
        <v>1</v>
      </c>
      <c r="E239" s="15" t="s">
        <v>287</v>
      </c>
      <c r="F239" s="15"/>
      <c r="G239" s="13">
        <v>1</v>
      </c>
    </row>
    <row r="240" spans="1:27" ht="28.5" customHeight="1" thickBot="1" x14ac:dyDescent="0.3">
      <c r="A240" s="52"/>
      <c r="B240" s="55"/>
      <c r="C240" s="54" t="s">
        <v>288</v>
      </c>
      <c r="D240" s="27">
        <v>1</v>
      </c>
      <c r="E240" s="15" t="s">
        <v>289</v>
      </c>
      <c r="F240" s="15"/>
      <c r="G240" s="13">
        <v>0</v>
      </c>
    </row>
    <row r="241" spans="1:27" ht="28.5" customHeight="1" thickBot="1" x14ac:dyDescent="0.3">
      <c r="A241" s="52"/>
      <c r="B241" s="55"/>
      <c r="C241" s="55"/>
      <c r="D241" s="27">
        <v>1</v>
      </c>
      <c r="E241" s="15" t="s">
        <v>290</v>
      </c>
      <c r="F241" s="15"/>
      <c r="G241" s="13">
        <v>0</v>
      </c>
    </row>
    <row r="242" spans="1:27" ht="28.5" customHeight="1" thickBot="1" x14ac:dyDescent="0.3">
      <c r="A242" s="52"/>
      <c r="B242" s="55"/>
      <c r="C242" s="55"/>
      <c r="D242" s="27">
        <v>1</v>
      </c>
      <c r="E242" s="15" t="s">
        <v>291</v>
      </c>
      <c r="F242" s="15"/>
      <c r="G242" s="13">
        <v>0</v>
      </c>
    </row>
    <row r="243" spans="1:27" ht="28.5" customHeight="1" thickBot="1" x14ac:dyDescent="0.3">
      <c r="A243" s="52"/>
      <c r="B243" s="55"/>
      <c r="C243" s="55"/>
      <c r="D243" s="27">
        <v>1</v>
      </c>
      <c r="E243" s="15" t="s">
        <v>292</v>
      </c>
      <c r="F243" s="15"/>
      <c r="G243" s="13">
        <v>0</v>
      </c>
    </row>
    <row r="244" spans="1:27" ht="28.5" customHeight="1" thickBot="1" x14ac:dyDescent="0.3">
      <c r="A244" s="52"/>
      <c r="B244" s="55"/>
      <c r="C244" s="55"/>
      <c r="D244" s="27">
        <v>1</v>
      </c>
      <c r="E244" s="15" t="s">
        <v>293</v>
      </c>
      <c r="F244" s="15"/>
      <c r="G244" s="13">
        <v>0</v>
      </c>
    </row>
    <row r="245" spans="1:27" ht="28.5" customHeight="1" thickBot="1" x14ac:dyDescent="0.3">
      <c r="A245" s="52"/>
      <c r="B245" s="56"/>
      <c r="C245" s="56"/>
      <c r="D245" s="27">
        <v>1</v>
      </c>
      <c r="E245" s="15" t="s">
        <v>294</v>
      </c>
      <c r="F245" s="15"/>
      <c r="G245" s="13">
        <v>0</v>
      </c>
    </row>
    <row r="246" spans="1:27" ht="16.5" customHeight="1" thickBot="1" x14ac:dyDescent="0.4">
      <c r="A246" s="52"/>
      <c r="B246" s="23"/>
      <c r="C246" s="29"/>
      <c r="D246" s="28"/>
      <c r="E246" s="30"/>
      <c r="F246" s="19">
        <f t="shared" ref="F246:G246" si="7">(SUM(F230:F245)/16)</f>
        <v>0</v>
      </c>
      <c r="G246" s="19">
        <f t="shared" si="7"/>
        <v>0.4375</v>
      </c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</row>
    <row r="247" spans="1:27" ht="28.5" customHeight="1" x14ac:dyDescent="0.35">
      <c r="B247" s="32"/>
      <c r="C247" s="1"/>
      <c r="D247" s="4"/>
      <c r="E247" s="3"/>
      <c r="F247" s="3"/>
      <c r="G247" s="33"/>
    </row>
    <row r="248" spans="1:27" ht="28.5" customHeight="1" x14ac:dyDescent="0.35">
      <c r="B248" s="34"/>
      <c r="C248" s="35" t="s">
        <v>295</v>
      </c>
      <c r="D248" s="36">
        <f>D23+D84+D126+D163+D187+D205+D229+D246</f>
        <v>0</v>
      </c>
      <c r="E248" s="37" t="s">
        <v>296</v>
      </c>
      <c r="F248" s="38">
        <f t="shared" ref="F248:G248" si="8">(F23+F84+F126+F163+F187+F205+F229+F246)/8</f>
        <v>0</v>
      </c>
      <c r="G248" s="38">
        <f t="shared" si="8"/>
        <v>0.25340989104195938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ht="15" customHeight="1" x14ac:dyDescent="0.35">
      <c r="B249" s="32"/>
      <c r="C249" s="1"/>
      <c r="D249" s="4"/>
      <c r="E249" s="39"/>
      <c r="F249" s="39"/>
      <c r="G249" s="40"/>
    </row>
    <row r="250" spans="1:27" ht="28.5" customHeight="1" x14ac:dyDescent="0.35">
      <c r="B250" s="32"/>
      <c r="C250" s="1"/>
      <c r="D250" s="4"/>
      <c r="E250" s="41" t="s">
        <v>297</v>
      </c>
      <c r="F250" s="42"/>
      <c r="G250" s="33"/>
    </row>
    <row r="251" spans="1:27" ht="28.5" customHeight="1" x14ac:dyDescent="0.35">
      <c r="B251" s="32"/>
      <c r="C251" s="1"/>
      <c r="D251" s="4"/>
      <c r="E251" s="43" t="s">
        <v>298</v>
      </c>
      <c r="F251" s="44">
        <f t="shared" ref="F251:G251" si="9">F23</f>
        <v>0</v>
      </c>
      <c r="G251" s="45">
        <f t="shared" si="9"/>
        <v>0.5714285714285714</v>
      </c>
    </row>
    <row r="252" spans="1:27" ht="28.5" customHeight="1" x14ac:dyDescent="0.35">
      <c r="B252" s="32"/>
      <c r="C252" s="1"/>
      <c r="D252" s="4"/>
      <c r="E252" s="43" t="s">
        <v>299</v>
      </c>
      <c r="F252" s="44">
        <f t="shared" ref="F252:G252" si="10">F84</f>
        <v>0</v>
      </c>
      <c r="G252" s="45">
        <f t="shared" si="10"/>
        <v>0.23333333333333334</v>
      </c>
    </row>
    <row r="253" spans="1:27" ht="28.5" customHeight="1" x14ac:dyDescent="0.35">
      <c r="B253" s="32"/>
      <c r="C253" s="1"/>
      <c r="D253" s="4"/>
      <c r="E253" s="43" t="s">
        <v>300</v>
      </c>
      <c r="F253" s="44">
        <f t="shared" ref="F253:G253" si="11">F126</f>
        <v>0</v>
      </c>
      <c r="G253" s="45">
        <f t="shared" si="11"/>
        <v>0.14634146341463414</v>
      </c>
    </row>
    <row r="254" spans="1:27" ht="28.5" customHeight="1" x14ac:dyDescent="0.35">
      <c r="B254" s="32"/>
      <c r="C254" s="1"/>
      <c r="D254" s="4"/>
      <c r="E254" s="43" t="s">
        <v>301</v>
      </c>
      <c r="F254" s="44">
        <f t="shared" ref="F254:G254" si="12">F163</f>
        <v>0</v>
      </c>
      <c r="G254" s="45">
        <f t="shared" si="12"/>
        <v>5.5555555555555552E-2</v>
      </c>
    </row>
    <row r="255" spans="1:27" ht="28.5" customHeight="1" x14ac:dyDescent="0.35">
      <c r="B255" s="32"/>
      <c r="C255" s="1"/>
      <c r="D255" s="4"/>
      <c r="E255" s="43" t="s">
        <v>302</v>
      </c>
      <c r="F255" s="44">
        <f t="shared" ref="F255:G255" si="13">F187</f>
        <v>0</v>
      </c>
      <c r="G255" s="45">
        <f t="shared" si="13"/>
        <v>0</v>
      </c>
    </row>
    <row r="256" spans="1:27" ht="28.5" customHeight="1" x14ac:dyDescent="0.35">
      <c r="B256" s="32"/>
      <c r="C256" s="1"/>
      <c r="D256" s="4"/>
      <c r="E256" s="43" t="s">
        <v>303</v>
      </c>
      <c r="F256" s="44">
        <f t="shared" ref="F256:G256" si="14">F205</f>
        <v>0</v>
      </c>
      <c r="G256" s="45">
        <f t="shared" si="14"/>
        <v>0.23529411764705882</v>
      </c>
    </row>
    <row r="257" spans="2:27" ht="28.5" customHeight="1" x14ac:dyDescent="0.35">
      <c r="B257" s="32"/>
      <c r="C257" s="1"/>
      <c r="D257" s="4"/>
      <c r="E257" s="43" t="s">
        <v>304</v>
      </c>
      <c r="F257" s="44">
        <f t="shared" ref="F257:G257" si="15">F229</f>
        <v>0</v>
      </c>
      <c r="G257" s="45">
        <f t="shared" si="15"/>
        <v>0.34782608695652173</v>
      </c>
    </row>
    <row r="258" spans="2:27" ht="28.5" customHeight="1" x14ac:dyDescent="0.35">
      <c r="B258" s="32"/>
      <c r="C258" s="1"/>
      <c r="D258" s="4"/>
      <c r="E258" s="43" t="s">
        <v>305</v>
      </c>
      <c r="F258" s="44">
        <f t="shared" ref="F258:G258" si="16">F246</f>
        <v>0</v>
      </c>
      <c r="G258" s="45">
        <f t="shared" si="16"/>
        <v>0.4375</v>
      </c>
    </row>
    <row r="259" spans="2:27" ht="28.5" customHeight="1" x14ac:dyDescent="0.35">
      <c r="B259" s="32"/>
      <c r="C259" s="1"/>
      <c r="D259" s="4"/>
      <c r="E259" s="46"/>
      <c r="F259" s="46"/>
      <c r="G259" s="4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2:27" ht="28.5" customHeight="1" x14ac:dyDescent="0.35">
      <c r="B260" s="32"/>
      <c r="C260" s="47" t="s">
        <v>306</v>
      </c>
      <c r="D260" s="4"/>
      <c r="E260" s="46"/>
      <c r="F260" s="46"/>
      <c r="G260" s="4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2:27" ht="28.5" customHeight="1" x14ac:dyDescent="0.45">
      <c r="B261" s="48"/>
      <c r="C261" s="49"/>
      <c r="D261" s="10"/>
      <c r="E261" s="46"/>
      <c r="F261" s="46"/>
      <c r="G261" s="10"/>
    </row>
    <row r="262" spans="2:27" ht="28.5" customHeight="1" x14ac:dyDescent="0.45">
      <c r="B262" s="48"/>
      <c r="C262" s="49"/>
      <c r="D262" s="10"/>
      <c r="E262" s="46"/>
      <c r="F262" s="46"/>
      <c r="G262" s="10"/>
    </row>
    <row r="263" spans="2:27" ht="28.5" customHeight="1" x14ac:dyDescent="0.45">
      <c r="B263" s="48"/>
      <c r="C263" s="49"/>
      <c r="D263" s="10"/>
      <c r="E263" s="46"/>
      <c r="F263" s="46"/>
      <c r="G263" s="10"/>
    </row>
    <row r="264" spans="2:27" ht="28.5" customHeight="1" x14ac:dyDescent="0.45">
      <c r="B264" s="48"/>
      <c r="C264" s="49"/>
      <c r="D264" s="10"/>
      <c r="E264" s="46"/>
      <c r="F264" s="46"/>
      <c r="G264" s="10"/>
    </row>
    <row r="265" spans="2:27" ht="28.5" customHeight="1" x14ac:dyDescent="0.45">
      <c r="B265" s="48"/>
      <c r="C265" s="49"/>
      <c r="D265" s="10"/>
      <c r="E265" s="50"/>
      <c r="F265" s="50"/>
      <c r="G265" s="10"/>
    </row>
    <row r="266" spans="2:27" ht="28.5" customHeight="1" x14ac:dyDescent="0.45">
      <c r="B266" s="48"/>
      <c r="C266" s="49"/>
      <c r="D266" s="10"/>
      <c r="E266" s="50"/>
      <c r="F266" s="50"/>
      <c r="G266" s="10"/>
    </row>
    <row r="267" spans="2:27" ht="28.5" customHeight="1" x14ac:dyDescent="0.45">
      <c r="B267" s="48"/>
      <c r="C267" s="49"/>
      <c r="D267" s="10"/>
      <c r="E267" s="50"/>
      <c r="F267" s="50"/>
      <c r="G267" s="10"/>
    </row>
    <row r="268" spans="2:27" ht="28.5" customHeight="1" x14ac:dyDescent="0.45">
      <c r="B268" s="48"/>
      <c r="C268" s="49"/>
      <c r="D268" s="10"/>
      <c r="E268" s="50"/>
      <c r="F268" s="50"/>
      <c r="G268" s="10"/>
    </row>
    <row r="269" spans="2:27" ht="28.5" customHeight="1" x14ac:dyDescent="0.45">
      <c r="B269" s="48"/>
      <c r="C269" s="49"/>
      <c r="D269" s="10"/>
      <c r="E269" s="50"/>
      <c r="F269" s="50"/>
      <c r="G269" s="10"/>
    </row>
    <row r="270" spans="2:27" ht="28.5" customHeight="1" x14ac:dyDescent="0.45">
      <c r="B270" s="48"/>
      <c r="C270" s="49"/>
      <c r="D270" s="10"/>
      <c r="E270" s="50"/>
      <c r="F270" s="50"/>
      <c r="G270" s="10"/>
    </row>
    <row r="271" spans="2:27" ht="28.5" customHeight="1" x14ac:dyDescent="0.45">
      <c r="B271" s="48"/>
      <c r="C271" s="49"/>
      <c r="D271" s="10"/>
      <c r="E271" s="50"/>
      <c r="F271" s="50"/>
      <c r="G271" s="10"/>
    </row>
    <row r="272" spans="2:27" ht="28.5" customHeight="1" x14ac:dyDescent="0.45">
      <c r="B272" s="48"/>
      <c r="C272" s="49"/>
      <c r="D272" s="10"/>
      <c r="E272" s="50"/>
      <c r="F272" s="50"/>
      <c r="G272" s="10"/>
    </row>
    <row r="273" spans="2:7" ht="28.5" customHeight="1" x14ac:dyDescent="0.45">
      <c r="B273" s="48"/>
      <c r="C273" s="49"/>
      <c r="D273" s="10"/>
      <c r="E273" s="50"/>
      <c r="F273" s="50"/>
      <c r="G273" s="10"/>
    </row>
    <row r="274" spans="2:7" ht="28.5" customHeight="1" x14ac:dyDescent="0.45">
      <c r="B274" s="48"/>
      <c r="C274" s="49"/>
      <c r="D274" s="10"/>
      <c r="E274" s="50"/>
      <c r="F274" s="50"/>
      <c r="G274" s="10"/>
    </row>
    <row r="275" spans="2:7" ht="28.5" customHeight="1" x14ac:dyDescent="0.45">
      <c r="B275" s="48"/>
      <c r="C275" s="49"/>
      <c r="D275" s="10"/>
      <c r="E275" s="50"/>
      <c r="F275" s="50"/>
      <c r="G275" s="10"/>
    </row>
    <row r="276" spans="2:7" ht="28.5" customHeight="1" x14ac:dyDescent="0.45">
      <c r="B276" s="48"/>
      <c r="C276" s="49"/>
      <c r="D276" s="10"/>
      <c r="E276" s="50"/>
      <c r="F276" s="50"/>
      <c r="G276" s="10"/>
    </row>
    <row r="277" spans="2:7" ht="28.5" customHeight="1" x14ac:dyDescent="0.45">
      <c r="B277" s="48"/>
      <c r="C277" s="49"/>
      <c r="D277" s="10"/>
      <c r="E277" s="50"/>
      <c r="F277" s="50"/>
      <c r="G277" s="10"/>
    </row>
    <row r="278" spans="2:7" ht="28.5" customHeight="1" x14ac:dyDescent="0.45">
      <c r="B278" s="48"/>
      <c r="C278" s="49"/>
      <c r="D278" s="10"/>
      <c r="E278" s="50"/>
      <c r="F278" s="50"/>
      <c r="G278" s="10"/>
    </row>
    <row r="279" spans="2:7" ht="28.5" customHeight="1" x14ac:dyDescent="0.45">
      <c r="B279" s="48"/>
      <c r="C279" s="49"/>
      <c r="D279" s="10"/>
      <c r="E279" s="50"/>
      <c r="F279" s="50"/>
      <c r="G279" s="10"/>
    </row>
    <row r="280" spans="2:7" ht="28.5" customHeight="1" x14ac:dyDescent="0.45">
      <c r="B280" s="48"/>
      <c r="C280" s="49"/>
      <c r="D280" s="10"/>
      <c r="E280" s="50"/>
      <c r="F280" s="50"/>
      <c r="G280" s="10"/>
    </row>
    <row r="281" spans="2:7" ht="28.5" customHeight="1" x14ac:dyDescent="0.45">
      <c r="B281" s="48"/>
      <c r="C281" s="49"/>
      <c r="D281" s="10"/>
      <c r="E281" s="50"/>
      <c r="F281" s="50"/>
      <c r="G281" s="10"/>
    </row>
    <row r="282" spans="2:7" ht="28.5" customHeight="1" x14ac:dyDescent="0.45">
      <c r="B282" s="48"/>
      <c r="C282" s="49"/>
      <c r="D282" s="10"/>
      <c r="E282" s="50"/>
      <c r="F282" s="50"/>
      <c r="G282" s="10"/>
    </row>
    <row r="283" spans="2:7" ht="28.5" customHeight="1" x14ac:dyDescent="0.45">
      <c r="B283" s="48"/>
      <c r="C283" s="49"/>
      <c r="D283" s="10"/>
      <c r="E283" s="50"/>
      <c r="F283" s="50"/>
      <c r="G283" s="10"/>
    </row>
    <row r="284" spans="2:7" ht="28.5" customHeight="1" x14ac:dyDescent="0.45">
      <c r="B284" s="48"/>
      <c r="C284" s="49"/>
      <c r="D284" s="10"/>
      <c r="E284" s="50"/>
      <c r="F284" s="50"/>
      <c r="G284" s="10"/>
    </row>
    <row r="285" spans="2:7" ht="28.5" customHeight="1" x14ac:dyDescent="0.45">
      <c r="B285" s="48"/>
      <c r="C285" s="49"/>
      <c r="D285" s="10"/>
      <c r="E285" s="50"/>
      <c r="F285" s="50"/>
      <c r="G285" s="10"/>
    </row>
    <row r="286" spans="2:7" ht="28.5" customHeight="1" x14ac:dyDescent="0.45">
      <c r="B286" s="48"/>
      <c r="C286" s="49"/>
      <c r="D286" s="10"/>
      <c r="E286" s="50"/>
      <c r="F286" s="50"/>
      <c r="G286" s="10"/>
    </row>
    <row r="287" spans="2:7" ht="28.5" customHeight="1" x14ac:dyDescent="0.45">
      <c r="B287" s="48"/>
      <c r="C287" s="49"/>
      <c r="D287" s="10"/>
      <c r="E287" s="50"/>
      <c r="F287" s="50"/>
      <c r="G287" s="10"/>
    </row>
    <row r="288" spans="2:7" ht="28.5" customHeight="1" x14ac:dyDescent="0.45">
      <c r="B288" s="48"/>
      <c r="C288" s="49"/>
      <c r="D288" s="10"/>
      <c r="E288" s="50"/>
      <c r="F288" s="50"/>
      <c r="G288" s="10"/>
    </row>
    <row r="289" spans="2:7" ht="28.5" customHeight="1" x14ac:dyDescent="0.45">
      <c r="B289" s="48"/>
      <c r="C289" s="49"/>
      <c r="D289" s="10"/>
      <c r="E289" s="50"/>
      <c r="F289" s="50"/>
      <c r="G289" s="10"/>
    </row>
    <row r="290" spans="2:7" ht="28.5" customHeight="1" x14ac:dyDescent="0.45">
      <c r="B290" s="48"/>
      <c r="C290" s="49"/>
      <c r="D290" s="10"/>
      <c r="E290" s="50"/>
      <c r="F290" s="50"/>
      <c r="G290" s="10"/>
    </row>
    <row r="291" spans="2:7" ht="28.5" customHeight="1" x14ac:dyDescent="0.45">
      <c r="B291" s="48"/>
      <c r="C291" s="49"/>
      <c r="D291" s="10"/>
      <c r="E291" s="50"/>
      <c r="F291" s="50"/>
      <c r="G291" s="10"/>
    </row>
    <row r="292" spans="2:7" ht="28.5" customHeight="1" x14ac:dyDescent="0.45">
      <c r="B292" s="48"/>
      <c r="C292" s="49"/>
      <c r="D292" s="10"/>
      <c r="E292" s="50"/>
      <c r="F292" s="50"/>
      <c r="G292" s="10"/>
    </row>
    <row r="293" spans="2:7" ht="28.5" customHeight="1" x14ac:dyDescent="0.45">
      <c r="B293" s="48"/>
      <c r="C293" s="49"/>
      <c r="D293" s="10"/>
      <c r="E293" s="50"/>
      <c r="F293" s="50"/>
      <c r="G293" s="10"/>
    </row>
    <row r="294" spans="2:7" ht="28.5" customHeight="1" x14ac:dyDescent="0.45">
      <c r="B294" s="48"/>
      <c r="C294" s="49"/>
      <c r="D294" s="10"/>
      <c r="E294" s="50"/>
      <c r="F294" s="50"/>
      <c r="G294" s="10"/>
    </row>
    <row r="295" spans="2:7" ht="28.5" customHeight="1" x14ac:dyDescent="0.45">
      <c r="B295" s="48"/>
      <c r="C295" s="49"/>
      <c r="D295" s="10"/>
      <c r="E295" s="50"/>
      <c r="F295" s="50"/>
      <c r="G295" s="10"/>
    </row>
    <row r="296" spans="2:7" ht="28.5" customHeight="1" x14ac:dyDescent="0.45">
      <c r="B296" s="48"/>
      <c r="C296" s="49"/>
      <c r="D296" s="10"/>
      <c r="E296" s="50"/>
      <c r="F296" s="50"/>
      <c r="G296" s="10"/>
    </row>
    <row r="297" spans="2:7" ht="28.5" customHeight="1" x14ac:dyDescent="0.45">
      <c r="B297" s="48"/>
      <c r="C297" s="49"/>
      <c r="D297" s="10"/>
      <c r="E297" s="50"/>
      <c r="F297" s="50"/>
      <c r="G297" s="10"/>
    </row>
    <row r="298" spans="2:7" ht="28.5" customHeight="1" x14ac:dyDescent="0.45">
      <c r="B298" s="48"/>
      <c r="C298" s="49"/>
      <c r="D298" s="10"/>
      <c r="E298" s="50"/>
      <c r="F298" s="50"/>
      <c r="G298" s="10"/>
    </row>
    <row r="299" spans="2:7" ht="28.5" customHeight="1" x14ac:dyDescent="0.45">
      <c r="B299" s="48"/>
      <c r="C299" s="49"/>
      <c r="D299" s="10"/>
      <c r="E299" s="50"/>
      <c r="F299" s="50"/>
      <c r="G299" s="10"/>
    </row>
    <row r="300" spans="2:7" ht="28.5" customHeight="1" x14ac:dyDescent="0.45">
      <c r="B300" s="48"/>
      <c r="C300" s="49"/>
      <c r="D300" s="10"/>
      <c r="E300" s="50"/>
      <c r="F300" s="50"/>
      <c r="G300" s="10"/>
    </row>
    <row r="301" spans="2:7" ht="28.5" customHeight="1" x14ac:dyDescent="0.45">
      <c r="B301" s="48"/>
      <c r="C301" s="49"/>
      <c r="D301" s="10"/>
      <c r="E301" s="50"/>
      <c r="F301" s="50"/>
      <c r="G301" s="10"/>
    </row>
    <row r="302" spans="2:7" ht="28.5" customHeight="1" x14ac:dyDescent="0.45">
      <c r="B302" s="48"/>
      <c r="C302" s="49"/>
      <c r="D302" s="10"/>
      <c r="E302" s="50"/>
      <c r="F302" s="50"/>
      <c r="G302" s="10"/>
    </row>
    <row r="303" spans="2:7" ht="28.5" customHeight="1" x14ac:dyDescent="0.45">
      <c r="B303" s="48"/>
      <c r="C303" s="49"/>
      <c r="D303" s="10"/>
      <c r="E303" s="50"/>
      <c r="F303" s="50"/>
      <c r="G303" s="10"/>
    </row>
    <row r="304" spans="2:7" ht="28.5" customHeight="1" x14ac:dyDescent="0.45">
      <c r="B304" s="48"/>
      <c r="C304" s="49"/>
      <c r="D304" s="10"/>
      <c r="E304" s="50"/>
      <c r="F304" s="50"/>
      <c r="G304" s="10"/>
    </row>
    <row r="305" spans="2:7" ht="28.5" customHeight="1" x14ac:dyDescent="0.45">
      <c r="B305" s="48"/>
      <c r="C305" s="49"/>
      <c r="D305" s="10"/>
      <c r="E305" s="50"/>
      <c r="F305" s="50"/>
      <c r="G305" s="10"/>
    </row>
    <row r="306" spans="2:7" ht="28.5" customHeight="1" x14ac:dyDescent="0.45">
      <c r="B306" s="48"/>
      <c r="C306" s="49"/>
      <c r="D306" s="10"/>
      <c r="E306" s="50"/>
      <c r="F306" s="50"/>
      <c r="G306" s="10"/>
    </row>
    <row r="307" spans="2:7" ht="28.5" customHeight="1" x14ac:dyDescent="0.45">
      <c r="B307" s="48"/>
      <c r="C307" s="49"/>
      <c r="D307" s="10"/>
      <c r="E307" s="50"/>
      <c r="F307" s="50"/>
      <c r="G307" s="10"/>
    </row>
    <row r="308" spans="2:7" ht="28.5" customHeight="1" x14ac:dyDescent="0.45">
      <c r="B308" s="48"/>
      <c r="C308" s="49"/>
      <c r="D308" s="10"/>
      <c r="E308" s="50"/>
      <c r="F308" s="50"/>
      <c r="G308" s="10"/>
    </row>
    <row r="309" spans="2:7" ht="28.5" customHeight="1" x14ac:dyDescent="0.45">
      <c r="B309" s="48"/>
      <c r="C309" s="49"/>
      <c r="D309" s="10"/>
      <c r="E309" s="50"/>
      <c r="F309" s="50"/>
      <c r="G309" s="10"/>
    </row>
    <row r="310" spans="2:7" ht="28.5" customHeight="1" x14ac:dyDescent="0.45">
      <c r="B310" s="48"/>
      <c r="C310" s="49"/>
      <c r="D310" s="10"/>
      <c r="E310" s="50"/>
      <c r="F310" s="50"/>
      <c r="G310" s="10"/>
    </row>
    <row r="311" spans="2:7" ht="28.5" customHeight="1" x14ac:dyDescent="0.45">
      <c r="B311" s="48"/>
      <c r="C311" s="49"/>
      <c r="D311" s="10"/>
      <c r="E311" s="50"/>
      <c r="F311" s="50"/>
      <c r="G311" s="10"/>
    </row>
    <row r="312" spans="2:7" ht="28.5" customHeight="1" x14ac:dyDescent="0.45">
      <c r="B312" s="48"/>
      <c r="C312" s="49"/>
      <c r="D312" s="10"/>
      <c r="E312" s="50"/>
      <c r="F312" s="50"/>
      <c r="G312" s="10"/>
    </row>
    <row r="313" spans="2:7" ht="28.5" customHeight="1" x14ac:dyDescent="0.45">
      <c r="B313" s="48"/>
      <c r="C313" s="49"/>
      <c r="D313" s="10"/>
      <c r="E313" s="50"/>
      <c r="F313" s="50"/>
      <c r="G313" s="10"/>
    </row>
    <row r="314" spans="2:7" ht="28.5" customHeight="1" x14ac:dyDescent="0.45">
      <c r="B314" s="48"/>
      <c r="C314" s="49"/>
      <c r="D314" s="10"/>
      <c r="E314" s="50"/>
      <c r="F314" s="50"/>
      <c r="G314" s="10"/>
    </row>
    <row r="315" spans="2:7" ht="28.5" customHeight="1" x14ac:dyDescent="0.45">
      <c r="B315" s="48"/>
      <c r="C315" s="49"/>
      <c r="D315" s="10"/>
      <c r="E315" s="50"/>
      <c r="F315" s="50"/>
      <c r="G315" s="10"/>
    </row>
    <row r="316" spans="2:7" ht="28.5" customHeight="1" x14ac:dyDescent="0.45">
      <c r="B316" s="48"/>
      <c r="C316" s="49"/>
      <c r="D316" s="10"/>
      <c r="E316" s="50"/>
      <c r="F316" s="50"/>
      <c r="G316" s="10"/>
    </row>
    <row r="317" spans="2:7" ht="28.5" customHeight="1" x14ac:dyDescent="0.45">
      <c r="B317" s="48"/>
      <c r="C317" s="49"/>
      <c r="D317" s="10"/>
      <c r="E317" s="50"/>
      <c r="F317" s="50"/>
      <c r="G317" s="10"/>
    </row>
    <row r="318" spans="2:7" ht="28.5" customHeight="1" x14ac:dyDescent="0.45">
      <c r="B318" s="48"/>
      <c r="C318" s="49"/>
      <c r="D318" s="10"/>
      <c r="E318" s="50"/>
      <c r="F318" s="50"/>
      <c r="G318" s="10"/>
    </row>
    <row r="319" spans="2:7" ht="28.5" customHeight="1" x14ac:dyDescent="0.45">
      <c r="B319" s="48"/>
      <c r="C319" s="49"/>
      <c r="D319" s="10"/>
      <c r="E319" s="50"/>
      <c r="F319" s="50"/>
      <c r="G319" s="10"/>
    </row>
    <row r="320" spans="2:7" ht="28.5" customHeight="1" x14ac:dyDescent="0.45">
      <c r="B320" s="48"/>
      <c r="C320" s="49"/>
      <c r="D320" s="10"/>
      <c r="E320" s="50"/>
      <c r="F320" s="50"/>
      <c r="G320" s="10"/>
    </row>
    <row r="321" spans="2:7" ht="28.5" customHeight="1" x14ac:dyDescent="0.45">
      <c r="B321" s="48"/>
      <c r="C321" s="49"/>
      <c r="D321" s="10"/>
      <c r="E321" s="50"/>
      <c r="F321" s="50"/>
      <c r="G321" s="10"/>
    </row>
    <row r="322" spans="2:7" ht="28.5" customHeight="1" x14ac:dyDescent="0.45">
      <c r="B322" s="48"/>
      <c r="C322" s="49"/>
      <c r="D322" s="10"/>
      <c r="E322" s="50"/>
      <c r="F322" s="50"/>
      <c r="G322" s="10"/>
    </row>
    <row r="323" spans="2:7" ht="28.5" customHeight="1" x14ac:dyDescent="0.45">
      <c r="B323" s="48"/>
      <c r="C323" s="49"/>
      <c r="D323" s="10"/>
      <c r="E323" s="50"/>
      <c r="F323" s="50"/>
      <c r="G323" s="10"/>
    </row>
    <row r="324" spans="2:7" ht="28.5" customHeight="1" x14ac:dyDescent="0.45">
      <c r="B324" s="48"/>
      <c r="C324" s="49"/>
      <c r="D324" s="10"/>
      <c r="E324" s="50"/>
      <c r="F324" s="50"/>
      <c r="G324" s="10"/>
    </row>
    <row r="325" spans="2:7" ht="28.5" customHeight="1" x14ac:dyDescent="0.45">
      <c r="B325" s="48"/>
      <c r="C325" s="49"/>
      <c r="D325" s="10"/>
      <c r="E325" s="50"/>
      <c r="F325" s="50"/>
      <c r="G325" s="10"/>
    </row>
    <row r="326" spans="2:7" ht="28.5" customHeight="1" x14ac:dyDescent="0.45">
      <c r="B326" s="48"/>
      <c r="C326" s="49"/>
      <c r="D326" s="10"/>
      <c r="E326" s="50"/>
      <c r="F326" s="50"/>
      <c r="G326" s="10"/>
    </row>
    <row r="327" spans="2:7" ht="28.5" customHeight="1" x14ac:dyDescent="0.45">
      <c r="B327" s="48"/>
      <c r="C327" s="49"/>
      <c r="D327" s="10"/>
      <c r="E327" s="50"/>
      <c r="F327" s="50"/>
      <c r="G327" s="10"/>
    </row>
    <row r="328" spans="2:7" ht="28.5" customHeight="1" x14ac:dyDescent="0.45">
      <c r="B328" s="48"/>
      <c r="C328" s="49"/>
      <c r="D328" s="10"/>
      <c r="E328" s="50"/>
      <c r="F328" s="50"/>
      <c r="G328" s="10"/>
    </row>
    <row r="329" spans="2:7" ht="28.5" customHeight="1" x14ac:dyDescent="0.45">
      <c r="B329" s="48"/>
      <c r="C329" s="49"/>
      <c r="D329" s="10"/>
      <c r="E329" s="50"/>
      <c r="F329" s="50"/>
      <c r="G329" s="10"/>
    </row>
    <row r="330" spans="2:7" ht="28.5" customHeight="1" x14ac:dyDescent="0.45">
      <c r="B330" s="48"/>
      <c r="C330" s="49"/>
      <c r="D330" s="10"/>
      <c r="E330" s="50"/>
      <c r="F330" s="50"/>
      <c r="G330" s="10"/>
    </row>
    <row r="331" spans="2:7" ht="28.5" customHeight="1" x14ac:dyDescent="0.45">
      <c r="B331" s="48"/>
      <c r="C331" s="49"/>
      <c r="D331" s="10"/>
      <c r="E331" s="50"/>
      <c r="F331" s="50"/>
      <c r="G331" s="10"/>
    </row>
    <row r="332" spans="2:7" ht="28.5" customHeight="1" x14ac:dyDescent="0.45">
      <c r="B332" s="48"/>
      <c r="C332" s="49"/>
      <c r="D332" s="10"/>
      <c r="E332" s="50"/>
      <c r="F332" s="50"/>
      <c r="G332" s="10"/>
    </row>
    <row r="333" spans="2:7" ht="28.5" customHeight="1" x14ac:dyDescent="0.45">
      <c r="B333" s="48"/>
      <c r="C333" s="49"/>
      <c r="D333" s="10"/>
      <c r="E333" s="50"/>
      <c r="F333" s="50"/>
      <c r="G333" s="10"/>
    </row>
    <row r="334" spans="2:7" ht="28.5" customHeight="1" x14ac:dyDescent="0.45">
      <c r="B334" s="48"/>
      <c r="C334" s="49"/>
      <c r="D334" s="10"/>
      <c r="E334" s="50"/>
      <c r="F334" s="50"/>
      <c r="G334" s="10"/>
    </row>
    <row r="335" spans="2:7" ht="28.5" customHeight="1" x14ac:dyDescent="0.45">
      <c r="B335" s="48"/>
      <c r="C335" s="49"/>
      <c r="D335" s="10"/>
      <c r="E335" s="50"/>
      <c r="F335" s="50"/>
      <c r="G335" s="10"/>
    </row>
    <row r="336" spans="2:7" ht="28.5" customHeight="1" x14ac:dyDescent="0.45">
      <c r="B336" s="48"/>
      <c r="C336" s="49"/>
      <c r="D336" s="10"/>
      <c r="E336" s="50"/>
      <c r="F336" s="50"/>
      <c r="G336" s="10"/>
    </row>
    <row r="337" spans="2:7" ht="28.5" customHeight="1" x14ac:dyDescent="0.45">
      <c r="B337" s="48"/>
      <c r="C337" s="49"/>
      <c r="D337" s="10"/>
      <c r="E337" s="50"/>
      <c r="F337" s="50"/>
      <c r="G337" s="10"/>
    </row>
    <row r="338" spans="2:7" ht="28.5" customHeight="1" x14ac:dyDescent="0.45">
      <c r="B338" s="48"/>
      <c r="C338" s="49"/>
      <c r="D338" s="10"/>
      <c r="E338" s="50"/>
      <c r="F338" s="50"/>
      <c r="G338" s="10"/>
    </row>
    <row r="339" spans="2:7" ht="28.5" customHeight="1" x14ac:dyDescent="0.45">
      <c r="B339" s="48"/>
      <c r="C339" s="49"/>
      <c r="D339" s="10"/>
      <c r="E339" s="50"/>
      <c r="F339" s="50"/>
      <c r="G339" s="10"/>
    </row>
    <row r="340" spans="2:7" ht="28.5" customHeight="1" x14ac:dyDescent="0.45">
      <c r="B340" s="48"/>
      <c r="C340" s="49"/>
      <c r="D340" s="10"/>
      <c r="E340" s="50"/>
      <c r="F340" s="50"/>
      <c r="G340" s="10"/>
    </row>
    <row r="341" spans="2:7" ht="28.5" customHeight="1" x14ac:dyDescent="0.45">
      <c r="B341" s="48"/>
      <c r="C341" s="49"/>
      <c r="D341" s="10"/>
      <c r="E341" s="50"/>
      <c r="F341" s="50"/>
      <c r="G341" s="10"/>
    </row>
    <row r="342" spans="2:7" ht="28.5" customHeight="1" x14ac:dyDescent="0.45">
      <c r="B342" s="48"/>
      <c r="C342" s="49"/>
      <c r="D342" s="10"/>
      <c r="E342" s="50"/>
      <c r="F342" s="50"/>
      <c r="G342" s="10"/>
    </row>
    <row r="343" spans="2:7" ht="28.5" customHeight="1" x14ac:dyDescent="0.45">
      <c r="B343" s="48"/>
      <c r="C343" s="49"/>
      <c r="D343" s="10"/>
      <c r="E343" s="50"/>
      <c r="F343" s="50"/>
      <c r="G343" s="10"/>
    </row>
    <row r="344" spans="2:7" ht="28.5" customHeight="1" x14ac:dyDescent="0.45">
      <c r="B344" s="48"/>
      <c r="C344" s="49"/>
      <c r="D344" s="10"/>
      <c r="E344" s="50"/>
      <c r="F344" s="50"/>
      <c r="G344" s="10"/>
    </row>
    <row r="345" spans="2:7" ht="28.5" customHeight="1" x14ac:dyDescent="0.45">
      <c r="B345" s="48"/>
      <c r="C345" s="49"/>
      <c r="D345" s="10"/>
      <c r="E345" s="50"/>
      <c r="F345" s="50"/>
      <c r="G345" s="10"/>
    </row>
    <row r="346" spans="2:7" ht="28.5" customHeight="1" x14ac:dyDescent="0.45">
      <c r="B346" s="48"/>
      <c r="C346" s="49"/>
      <c r="D346" s="10"/>
      <c r="E346" s="50"/>
      <c r="F346" s="50"/>
      <c r="G346" s="10"/>
    </row>
    <row r="347" spans="2:7" ht="28.5" customHeight="1" x14ac:dyDescent="0.45">
      <c r="B347" s="48"/>
      <c r="C347" s="49"/>
      <c r="D347" s="10"/>
      <c r="E347" s="50"/>
      <c r="F347" s="50"/>
      <c r="G347" s="10"/>
    </row>
    <row r="348" spans="2:7" ht="28.5" customHeight="1" x14ac:dyDescent="0.45">
      <c r="B348" s="48"/>
      <c r="C348" s="49"/>
      <c r="D348" s="10"/>
      <c r="E348" s="50"/>
      <c r="F348" s="50"/>
      <c r="G348" s="10"/>
    </row>
    <row r="349" spans="2:7" ht="28.5" customHeight="1" x14ac:dyDescent="0.45">
      <c r="B349" s="48"/>
      <c r="C349" s="49"/>
      <c r="D349" s="10"/>
      <c r="E349" s="50"/>
      <c r="F349" s="50"/>
      <c r="G349" s="10"/>
    </row>
    <row r="350" spans="2:7" ht="28.5" customHeight="1" x14ac:dyDescent="0.45">
      <c r="B350" s="48"/>
      <c r="C350" s="49"/>
      <c r="D350" s="10"/>
      <c r="E350" s="50"/>
      <c r="F350" s="50"/>
      <c r="G350" s="10"/>
    </row>
    <row r="351" spans="2:7" ht="28.5" customHeight="1" x14ac:dyDescent="0.45">
      <c r="B351" s="48"/>
      <c r="C351" s="49"/>
      <c r="D351" s="10"/>
      <c r="E351" s="50"/>
      <c r="F351" s="50"/>
      <c r="G351" s="10"/>
    </row>
    <row r="352" spans="2:7" ht="28.5" customHeight="1" x14ac:dyDescent="0.45">
      <c r="B352" s="48"/>
      <c r="C352" s="49"/>
      <c r="D352" s="10"/>
      <c r="E352" s="50"/>
      <c r="F352" s="50"/>
      <c r="G352" s="10"/>
    </row>
    <row r="353" spans="2:7" ht="28.5" customHeight="1" x14ac:dyDescent="0.45">
      <c r="B353" s="48"/>
      <c r="C353" s="49"/>
      <c r="D353" s="10"/>
      <c r="E353" s="50"/>
      <c r="F353" s="50"/>
      <c r="G353" s="10"/>
    </row>
    <row r="354" spans="2:7" ht="28.5" customHeight="1" x14ac:dyDescent="0.45">
      <c r="B354" s="48"/>
      <c r="C354" s="49"/>
      <c r="D354" s="10"/>
      <c r="E354" s="50"/>
      <c r="F354" s="50"/>
      <c r="G354" s="10"/>
    </row>
    <row r="355" spans="2:7" ht="28.5" customHeight="1" x14ac:dyDescent="0.45">
      <c r="B355" s="48"/>
      <c r="C355" s="49"/>
      <c r="D355" s="10"/>
      <c r="E355" s="50"/>
      <c r="F355" s="50"/>
      <c r="G355" s="10"/>
    </row>
    <row r="356" spans="2:7" ht="28.5" customHeight="1" x14ac:dyDescent="0.45">
      <c r="B356" s="48"/>
      <c r="C356" s="49"/>
      <c r="D356" s="10"/>
      <c r="E356" s="50"/>
      <c r="F356" s="50"/>
      <c r="G356" s="10"/>
    </row>
    <row r="357" spans="2:7" ht="28.5" customHeight="1" x14ac:dyDescent="0.45">
      <c r="B357" s="48"/>
      <c r="C357" s="49"/>
      <c r="D357" s="10"/>
      <c r="E357" s="50"/>
      <c r="F357" s="50"/>
      <c r="G357" s="10"/>
    </row>
    <row r="358" spans="2:7" ht="28.5" customHeight="1" x14ac:dyDescent="0.45">
      <c r="B358" s="48"/>
      <c r="C358" s="49"/>
      <c r="D358" s="10"/>
      <c r="E358" s="50"/>
      <c r="F358" s="50"/>
      <c r="G358" s="10"/>
    </row>
    <row r="359" spans="2:7" ht="28.5" customHeight="1" x14ac:dyDescent="0.45">
      <c r="B359" s="48"/>
      <c r="C359" s="49"/>
      <c r="D359" s="10"/>
      <c r="E359" s="50"/>
      <c r="F359" s="50"/>
      <c r="G359" s="10"/>
    </row>
    <row r="360" spans="2:7" ht="28.5" customHeight="1" x14ac:dyDescent="0.45">
      <c r="B360" s="48"/>
      <c r="C360" s="49"/>
      <c r="D360" s="10"/>
      <c r="E360" s="50"/>
      <c r="F360" s="50"/>
      <c r="G360" s="10"/>
    </row>
    <row r="361" spans="2:7" ht="28.5" customHeight="1" x14ac:dyDescent="0.45">
      <c r="B361" s="48"/>
      <c r="C361" s="49"/>
      <c r="D361" s="10"/>
      <c r="E361" s="50"/>
      <c r="F361" s="50"/>
      <c r="G361" s="10"/>
    </row>
    <row r="362" spans="2:7" ht="28.5" customHeight="1" x14ac:dyDescent="0.45">
      <c r="B362" s="48"/>
      <c r="C362" s="49"/>
      <c r="D362" s="10"/>
      <c r="E362" s="50"/>
      <c r="F362" s="50"/>
      <c r="G362" s="10"/>
    </row>
    <row r="363" spans="2:7" ht="28.5" customHeight="1" x14ac:dyDescent="0.45">
      <c r="B363" s="48"/>
      <c r="C363" s="49"/>
      <c r="D363" s="10"/>
      <c r="E363" s="50"/>
      <c r="F363" s="50"/>
      <c r="G363" s="10"/>
    </row>
    <row r="364" spans="2:7" ht="28.5" customHeight="1" x14ac:dyDescent="0.45">
      <c r="B364" s="48"/>
      <c r="C364" s="49"/>
      <c r="D364" s="10"/>
      <c r="E364" s="50"/>
      <c r="F364" s="50"/>
      <c r="G364" s="10"/>
    </row>
    <row r="365" spans="2:7" ht="28.5" customHeight="1" x14ac:dyDescent="0.45">
      <c r="B365" s="48"/>
      <c r="C365" s="49"/>
      <c r="D365" s="10"/>
      <c r="E365" s="50"/>
      <c r="F365" s="50"/>
      <c r="G365" s="10"/>
    </row>
    <row r="366" spans="2:7" ht="28.5" customHeight="1" x14ac:dyDescent="0.45">
      <c r="B366" s="48"/>
      <c r="C366" s="49"/>
      <c r="D366" s="10"/>
      <c r="E366" s="50"/>
      <c r="F366" s="50"/>
      <c r="G366" s="10"/>
    </row>
    <row r="367" spans="2:7" ht="28.5" customHeight="1" x14ac:dyDescent="0.45">
      <c r="B367" s="48"/>
      <c r="C367" s="49"/>
      <c r="D367" s="10"/>
      <c r="E367" s="50"/>
      <c r="F367" s="50"/>
      <c r="G367" s="10"/>
    </row>
    <row r="368" spans="2:7" ht="28.5" customHeight="1" x14ac:dyDescent="0.45">
      <c r="B368" s="48"/>
      <c r="C368" s="49"/>
      <c r="D368" s="10"/>
      <c r="E368" s="50"/>
      <c r="F368" s="50"/>
      <c r="G368" s="10"/>
    </row>
    <row r="369" spans="2:7" ht="28.5" customHeight="1" x14ac:dyDescent="0.45">
      <c r="B369" s="48"/>
      <c r="C369" s="49"/>
      <c r="D369" s="10"/>
      <c r="E369" s="50"/>
      <c r="F369" s="50"/>
      <c r="G369" s="10"/>
    </row>
    <row r="370" spans="2:7" ht="28.5" customHeight="1" x14ac:dyDescent="0.45">
      <c r="B370" s="48"/>
      <c r="C370" s="49"/>
      <c r="D370" s="10"/>
      <c r="E370" s="50"/>
      <c r="F370" s="50"/>
      <c r="G370" s="10"/>
    </row>
    <row r="371" spans="2:7" ht="28.5" customHeight="1" x14ac:dyDescent="0.45">
      <c r="B371" s="48"/>
      <c r="C371" s="49"/>
      <c r="D371" s="10"/>
      <c r="E371" s="50"/>
      <c r="F371" s="50"/>
      <c r="G371" s="10"/>
    </row>
    <row r="372" spans="2:7" ht="28.5" customHeight="1" x14ac:dyDescent="0.45">
      <c r="B372" s="48"/>
      <c r="C372" s="49"/>
      <c r="D372" s="10"/>
      <c r="E372" s="50"/>
      <c r="F372" s="50"/>
      <c r="G372" s="10"/>
    </row>
    <row r="373" spans="2:7" ht="28.5" customHeight="1" x14ac:dyDescent="0.45">
      <c r="B373" s="48"/>
      <c r="C373" s="49"/>
      <c r="D373" s="10"/>
      <c r="E373" s="50"/>
      <c r="F373" s="50"/>
      <c r="G373" s="10"/>
    </row>
    <row r="374" spans="2:7" ht="28.5" customHeight="1" x14ac:dyDescent="0.45">
      <c r="B374" s="48"/>
      <c r="C374" s="49"/>
      <c r="D374" s="10"/>
      <c r="E374" s="50"/>
      <c r="F374" s="50"/>
      <c r="G374" s="10"/>
    </row>
    <row r="375" spans="2:7" ht="28.5" customHeight="1" x14ac:dyDescent="0.45">
      <c r="B375" s="48"/>
      <c r="C375" s="49"/>
      <c r="D375" s="10"/>
      <c r="E375" s="50"/>
      <c r="F375" s="50"/>
      <c r="G375" s="10"/>
    </row>
    <row r="376" spans="2:7" ht="28.5" customHeight="1" x14ac:dyDescent="0.45">
      <c r="B376" s="48"/>
      <c r="C376" s="49"/>
      <c r="D376" s="10"/>
      <c r="E376" s="50"/>
      <c r="F376" s="50"/>
      <c r="G376" s="10"/>
    </row>
    <row r="377" spans="2:7" ht="28.5" customHeight="1" x14ac:dyDescent="0.45">
      <c r="B377" s="48"/>
      <c r="C377" s="49"/>
      <c r="D377" s="10"/>
      <c r="E377" s="50"/>
      <c r="F377" s="50"/>
      <c r="G377" s="10"/>
    </row>
    <row r="378" spans="2:7" ht="28.5" customHeight="1" x14ac:dyDescent="0.45">
      <c r="B378" s="48"/>
      <c r="C378" s="49"/>
      <c r="D378" s="10"/>
      <c r="E378" s="50"/>
      <c r="F378" s="50"/>
      <c r="G378" s="10"/>
    </row>
    <row r="379" spans="2:7" ht="28.5" customHeight="1" x14ac:dyDescent="0.45">
      <c r="B379" s="48"/>
      <c r="C379" s="49"/>
      <c r="D379" s="10"/>
      <c r="E379" s="50"/>
      <c r="F379" s="50"/>
      <c r="G379" s="10"/>
    </row>
    <row r="380" spans="2:7" ht="28.5" customHeight="1" x14ac:dyDescent="0.45">
      <c r="B380" s="48"/>
      <c r="C380" s="49"/>
      <c r="D380" s="10"/>
      <c r="E380" s="50"/>
      <c r="F380" s="50"/>
      <c r="G380" s="10"/>
    </row>
    <row r="381" spans="2:7" ht="28.5" customHeight="1" x14ac:dyDescent="0.45">
      <c r="B381" s="48"/>
      <c r="C381" s="49"/>
      <c r="D381" s="10"/>
      <c r="E381" s="50"/>
      <c r="F381" s="50"/>
      <c r="G381" s="10"/>
    </row>
    <row r="382" spans="2:7" ht="28.5" customHeight="1" x14ac:dyDescent="0.45">
      <c r="B382" s="48"/>
      <c r="C382" s="49"/>
      <c r="D382" s="10"/>
      <c r="E382" s="50"/>
      <c r="F382" s="50"/>
      <c r="G382" s="10"/>
    </row>
    <row r="383" spans="2:7" ht="28.5" customHeight="1" x14ac:dyDescent="0.45">
      <c r="B383" s="48"/>
      <c r="C383" s="49"/>
      <c r="D383" s="10"/>
      <c r="E383" s="50"/>
      <c r="F383" s="50"/>
      <c r="G383" s="10"/>
    </row>
    <row r="384" spans="2:7" ht="28.5" customHeight="1" x14ac:dyDescent="0.45">
      <c r="B384" s="48"/>
      <c r="C384" s="49"/>
      <c r="D384" s="10"/>
      <c r="E384" s="50"/>
      <c r="F384" s="50"/>
      <c r="G384" s="10"/>
    </row>
    <row r="385" spans="2:7" ht="28.5" customHeight="1" x14ac:dyDescent="0.45">
      <c r="B385" s="48"/>
      <c r="C385" s="49"/>
      <c r="D385" s="10"/>
      <c r="E385" s="50"/>
      <c r="F385" s="50"/>
      <c r="G385" s="10"/>
    </row>
    <row r="386" spans="2:7" ht="28.5" customHeight="1" x14ac:dyDescent="0.45">
      <c r="B386" s="48"/>
      <c r="C386" s="49"/>
      <c r="D386" s="10"/>
      <c r="E386" s="50"/>
      <c r="F386" s="50"/>
      <c r="G386" s="10"/>
    </row>
    <row r="387" spans="2:7" ht="28.5" customHeight="1" x14ac:dyDescent="0.45">
      <c r="B387" s="48"/>
      <c r="C387" s="49"/>
      <c r="D387" s="10"/>
      <c r="E387" s="50"/>
      <c r="F387" s="50"/>
      <c r="G387" s="10"/>
    </row>
    <row r="388" spans="2:7" ht="28.5" customHeight="1" x14ac:dyDescent="0.45">
      <c r="B388" s="48"/>
      <c r="C388" s="49"/>
      <c r="D388" s="10"/>
      <c r="E388" s="50"/>
      <c r="F388" s="50"/>
      <c r="G388" s="10"/>
    </row>
    <row r="389" spans="2:7" ht="28.5" customHeight="1" x14ac:dyDescent="0.45">
      <c r="B389" s="48"/>
      <c r="C389" s="49"/>
      <c r="D389" s="10"/>
      <c r="E389" s="50"/>
      <c r="F389" s="50"/>
      <c r="G389" s="10"/>
    </row>
    <row r="390" spans="2:7" ht="28.5" customHeight="1" x14ac:dyDescent="0.45">
      <c r="B390" s="48"/>
      <c r="C390" s="49"/>
      <c r="D390" s="10"/>
      <c r="E390" s="50"/>
      <c r="F390" s="50"/>
      <c r="G390" s="10"/>
    </row>
    <row r="391" spans="2:7" ht="28.5" customHeight="1" x14ac:dyDescent="0.45">
      <c r="B391" s="48"/>
      <c r="C391" s="49"/>
      <c r="D391" s="10"/>
      <c r="E391" s="50"/>
      <c r="F391" s="50"/>
      <c r="G391" s="10"/>
    </row>
    <row r="392" spans="2:7" ht="28.5" customHeight="1" x14ac:dyDescent="0.45">
      <c r="B392" s="48"/>
      <c r="C392" s="49"/>
      <c r="D392" s="10"/>
      <c r="E392" s="50"/>
      <c r="F392" s="50"/>
      <c r="G392" s="10"/>
    </row>
    <row r="393" spans="2:7" ht="28.5" customHeight="1" x14ac:dyDescent="0.45">
      <c r="B393" s="48"/>
      <c r="C393" s="49"/>
      <c r="D393" s="10"/>
      <c r="E393" s="50"/>
      <c r="F393" s="50"/>
      <c r="G393" s="10"/>
    </row>
    <row r="394" spans="2:7" ht="28.5" customHeight="1" x14ac:dyDescent="0.45">
      <c r="B394" s="48"/>
      <c r="C394" s="49"/>
      <c r="D394" s="10"/>
      <c r="E394" s="50"/>
      <c r="F394" s="50"/>
      <c r="G394" s="10"/>
    </row>
    <row r="395" spans="2:7" ht="28.5" customHeight="1" x14ac:dyDescent="0.45">
      <c r="B395" s="48"/>
      <c r="C395" s="49"/>
      <c r="D395" s="10"/>
      <c r="E395" s="50"/>
      <c r="F395" s="50"/>
      <c r="G395" s="10"/>
    </row>
    <row r="396" spans="2:7" ht="28.5" customHeight="1" x14ac:dyDescent="0.45">
      <c r="B396" s="48"/>
      <c r="C396" s="49"/>
      <c r="D396" s="10"/>
      <c r="E396" s="50"/>
      <c r="F396" s="50"/>
      <c r="G396" s="10"/>
    </row>
    <row r="397" spans="2:7" ht="28.5" customHeight="1" x14ac:dyDescent="0.45">
      <c r="B397" s="48"/>
      <c r="C397" s="49"/>
      <c r="D397" s="10"/>
      <c r="E397" s="50"/>
      <c r="F397" s="50"/>
      <c r="G397" s="10"/>
    </row>
    <row r="398" spans="2:7" ht="28.5" customHeight="1" x14ac:dyDescent="0.45">
      <c r="B398" s="48"/>
      <c r="C398" s="49"/>
      <c r="D398" s="10"/>
      <c r="E398" s="50"/>
      <c r="F398" s="50"/>
      <c r="G398" s="10"/>
    </row>
    <row r="399" spans="2:7" ht="28.5" customHeight="1" x14ac:dyDescent="0.45">
      <c r="B399" s="48"/>
      <c r="C399" s="49"/>
      <c r="D399" s="10"/>
      <c r="E399" s="50"/>
      <c r="F399" s="50"/>
      <c r="G399" s="10"/>
    </row>
    <row r="400" spans="2:7" ht="28.5" customHeight="1" x14ac:dyDescent="0.45">
      <c r="B400" s="48"/>
      <c r="C400" s="49"/>
      <c r="D400" s="10"/>
      <c r="E400" s="50"/>
      <c r="F400" s="50"/>
      <c r="G400" s="10"/>
    </row>
    <row r="401" spans="2:7" ht="28.5" customHeight="1" x14ac:dyDescent="0.45">
      <c r="B401" s="48"/>
      <c r="C401" s="49"/>
      <c r="D401" s="10"/>
      <c r="E401" s="50"/>
      <c r="F401" s="50"/>
      <c r="G401" s="10"/>
    </row>
    <row r="402" spans="2:7" ht="28.5" customHeight="1" x14ac:dyDescent="0.45">
      <c r="B402" s="48"/>
      <c r="C402" s="49"/>
      <c r="D402" s="10"/>
      <c r="E402" s="50"/>
      <c r="F402" s="50"/>
      <c r="G402" s="10"/>
    </row>
    <row r="403" spans="2:7" ht="28.5" customHeight="1" x14ac:dyDescent="0.45">
      <c r="B403" s="48"/>
      <c r="C403" s="49"/>
      <c r="D403" s="10"/>
      <c r="E403" s="50"/>
      <c r="F403" s="50"/>
      <c r="G403" s="10"/>
    </row>
    <row r="404" spans="2:7" ht="28.5" customHeight="1" x14ac:dyDescent="0.45">
      <c r="B404" s="48"/>
      <c r="C404" s="49"/>
      <c r="D404" s="10"/>
      <c r="E404" s="50"/>
      <c r="F404" s="50"/>
      <c r="G404" s="10"/>
    </row>
    <row r="405" spans="2:7" ht="28.5" customHeight="1" x14ac:dyDescent="0.45">
      <c r="B405" s="48"/>
      <c r="C405" s="49"/>
      <c r="D405" s="10"/>
      <c r="E405" s="50"/>
      <c r="F405" s="50"/>
      <c r="G405" s="10"/>
    </row>
    <row r="406" spans="2:7" ht="28.5" customHeight="1" x14ac:dyDescent="0.45">
      <c r="B406" s="48"/>
      <c r="C406" s="49"/>
      <c r="D406" s="10"/>
      <c r="E406" s="50"/>
      <c r="F406" s="50"/>
      <c r="G406" s="10"/>
    </row>
    <row r="407" spans="2:7" ht="28.5" customHeight="1" x14ac:dyDescent="0.45">
      <c r="B407" s="48"/>
      <c r="C407" s="49"/>
      <c r="D407" s="10"/>
      <c r="E407" s="50"/>
      <c r="F407" s="50"/>
      <c r="G407" s="10"/>
    </row>
    <row r="408" spans="2:7" ht="28.5" customHeight="1" x14ac:dyDescent="0.45">
      <c r="B408" s="48"/>
      <c r="C408" s="49"/>
      <c r="D408" s="10"/>
      <c r="E408" s="50"/>
      <c r="F408" s="50"/>
      <c r="G408" s="10"/>
    </row>
    <row r="409" spans="2:7" ht="28.5" customHeight="1" x14ac:dyDescent="0.45">
      <c r="B409" s="48"/>
      <c r="C409" s="49"/>
      <c r="D409" s="10"/>
      <c r="E409" s="50"/>
      <c r="F409" s="50"/>
      <c r="G409" s="10"/>
    </row>
    <row r="410" spans="2:7" ht="28.5" customHeight="1" x14ac:dyDescent="0.45">
      <c r="B410" s="48"/>
      <c r="C410" s="49"/>
      <c r="D410" s="10"/>
      <c r="E410" s="50"/>
      <c r="F410" s="50"/>
      <c r="G410" s="10"/>
    </row>
    <row r="411" spans="2:7" ht="28.5" customHeight="1" x14ac:dyDescent="0.45">
      <c r="B411" s="48"/>
      <c r="C411" s="49"/>
      <c r="D411" s="10"/>
      <c r="E411" s="50"/>
      <c r="F411" s="50"/>
      <c r="G411" s="10"/>
    </row>
    <row r="412" spans="2:7" ht="28.5" customHeight="1" x14ac:dyDescent="0.45">
      <c r="B412" s="48"/>
      <c r="C412" s="49"/>
      <c r="D412" s="10"/>
      <c r="E412" s="50"/>
      <c r="F412" s="50"/>
      <c r="G412" s="10"/>
    </row>
    <row r="413" spans="2:7" ht="28.5" customHeight="1" x14ac:dyDescent="0.45">
      <c r="B413" s="48"/>
      <c r="C413" s="49"/>
      <c r="D413" s="10"/>
      <c r="E413" s="50"/>
      <c r="F413" s="50"/>
      <c r="G413" s="10"/>
    </row>
    <row r="414" spans="2:7" ht="28.5" customHeight="1" x14ac:dyDescent="0.45">
      <c r="B414" s="48"/>
      <c r="C414" s="49"/>
      <c r="D414" s="10"/>
      <c r="E414" s="50"/>
      <c r="F414" s="50"/>
      <c r="G414" s="10"/>
    </row>
    <row r="415" spans="2:7" ht="28.5" customHeight="1" x14ac:dyDescent="0.45">
      <c r="B415" s="48"/>
      <c r="C415" s="49"/>
      <c r="D415" s="10"/>
      <c r="E415" s="50"/>
      <c r="F415" s="50"/>
      <c r="G415" s="10"/>
    </row>
    <row r="416" spans="2:7" ht="28.5" customHeight="1" x14ac:dyDescent="0.45">
      <c r="B416" s="48"/>
      <c r="C416" s="49"/>
      <c r="D416" s="10"/>
      <c r="E416" s="50"/>
      <c r="F416" s="50"/>
      <c r="G416" s="10"/>
    </row>
    <row r="417" spans="2:7" ht="28.5" customHeight="1" x14ac:dyDescent="0.45">
      <c r="B417" s="48"/>
      <c r="C417" s="49"/>
      <c r="D417" s="10"/>
      <c r="E417" s="50"/>
      <c r="F417" s="50"/>
      <c r="G417" s="10"/>
    </row>
    <row r="418" spans="2:7" ht="28.5" customHeight="1" x14ac:dyDescent="0.45">
      <c r="B418" s="48"/>
      <c r="C418" s="49"/>
      <c r="D418" s="10"/>
      <c r="E418" s="50"/>
      <c r="F418" s="50"/>
      <c r="G418" s="10"/>
    </row>
    <row r="419" spans="2:7" ht="28.5" customHeight="1" x14ac:dyDescent="0.45">
      <c r="B419" s="48"/>
      <c r="C419" s="49"/>
      <c r="D419" s="10"/>
      <c r="E419" s="50"/>
      <c r="F419" s="50"/>
      <c r="G419" s="10"/>
    </row>
    <row r="420" spans="2:7" ht="28.5" customHeight="1" x14ac:dyDescent="0.45">
      <c r="B420" s="48"/>
      <c r="C420" s="49"/>
      <c r="D420" s="10"/>
      <c r="E420" s="50"/>
      <c r="F420" s="50"/>
      <c r="G420" s="10"/>
    </row>
    <row r="421" spans="2:7" ht="28.5" customHeight="1" x14ac:dyDescent="0.45">
      <c r="B421" s="48"/>
      <c r="C421" s="49"/>
      <c r="D421" s="10"/>
      <c r="E421" s="50"/>
      <c r="F421" s="50"/>
      <c r="G421" s="10"/>
    </row>
    <row r="422" spans="2:7" ht="28.5" customHeight="1" x14ac:dyDescent="0.45">
      <c r="B422" s="48"/>
      <c r="C422" s="49"/>
      <c r="D422" s="10"/>
      <c r="E422" s="50"/>
      <c r="F422" s="50"/>
      <c r="G422" s="10"/>
    </row>
    <row r="423" spans="2:7" ht="28.5" customHeight="1" x14ac:dyDescent="0.45">
      <c r="B423" s="48"/>
      <c r="C423" s="49"/>
      <c r="D423" s="10"/>
      <c r="E423" s="50"/>
      <c r="F423" s="50"/>
      <c r="G423" s="10"/>
    </row>
    <row r="424" spans="2:7" ht="28.5" customHeight="1" x14ac:dyDescent="0.45">
      <c r="B424" s="48"/>
      <c r="C424" s="49"/>
      <c r="D424" s="10"/>
      <c r="E424" s="50"/>
      <c r="F424" s="50"/>
      <c r="G424" s="10"/>
    </row>
    <row r="425" spans="2:7" ht="28.5" customHeight="1" x14ac:dyDescent="0.45">
      <c r="B425" s="48"/>
      <c r="C425" s="49"/>
      <c r="D425" s="10"/>
      <c r="E425" s="50"/>
      <c r="F425" s="50"/>
      <c r="G425" s="10"/>
    </row>
    <row r="426" spans="2:7" ht="28.5" customHeight="1" x14ac:dyDescent="0.45">
      <c r="B426" s="48"/>
      <c r="C426" s="49"/>
      <c r="D426" s="10"/>
      <c r="E426" s="50"/>
      <c r="F426" s="50"/>
      <c r="G426" s="10"/>
    </row>
    <row r="427" spans="2:7" ht="28.5" customHeight="1" x14ac:dyDescent="0.45">
      <c r="B427" s="48"/>
      <c r="C427" s="49"/>
      <c r="D427" s="10"/>
      <c r="E427" s="50"/>
      <c r="F427" s="50"/>
      <c r="G427" s="10"/>
    </row>
    <row r="428" spans="2:7" ht="28.5" customHeight="1" x14ac:dyDescent="0.45">
      <c r="B428" s="48"/>
      <c r="C428" s="49"/>
      <c r="D428" s="10"/>
      <c r="E428" s="50"/>
      <c r="F428" s="50"/>
      <c r="G428" s="10"/>
    </row>
    <row r="429" spans="2:7" ht="28.5" customHeight="1" x14ac:dyDescent="0.45">
      <c r="B429" s="48"/>
      <c r="C429" s="49"/>
      <c r="D429" s="10"/>
      <c r="E429" s="50"/>
      <c r="F429" s="50"/>
      <c r="G429" s="10"/>
    </row>
    <row r="430" spans="2:7" ht="28.5" customHeight="1" x14ac:dyDescent="0.45">
      <c r="B430" s="48"/>
      <c r="C430" s="49"/>
      <c r="D430" s="10"/>
      <c r="E430" s="50"/>
      <c r="F430" s="50"/>
      <c r="G430" s="10"/>
    </row>
    <row r="431" spans="2:7" ht="28.5" customHeight="1" x14ac:dyDescent="0.45">
      <c r="B431" s="48"/>
      <c r="C431" s="49"/>
      <c r="D431" s="10"/>
      <c r="E431" s="50"/>
      <c r="F431" s="50"/>
      <c r="G431" s="10"/>
    </row>
    <row r="432" spans="2:7" ht="28.5" customHeight="1" x14ac:dyDescent="0.45">
      <c r="B432" s="48"/>
      <c r="C432" s="49"/>
      <c r="D432" s="10"/>
      <c r="E432" s="50"/>
      <c r="F432" s="50"/>
      <c r="G432" s="10"/>
    </row>
    <row r="433" spans="2:7" ht="28.5" customHeight="1" x14ac:dyDescent="0.45">
      <c r="B433" s="48"/>
      <c r="C433" s="49"/>
      <c r="D433" s="10"/>
      <c r="E433" s="50"/>
      <c r="F433" s="50"/>
      <c r="G433" s="10"/>
    </row>
    <row r="434" spans="2:7" ht="28.5" customHeight="1" x14ac:dyDescent="0.45">
      <c r="B434" s="48"/>
      <c r="C434" s="49"/>
      <c r="D434" s="10"/>
      <c r="E434" s="50"/>
      <c r="F434" s="50"/>
      <c r="G434" s="10"/>
    </row>
    <row r="435" spans="2:7" ht="28.5" customHeight="1" x14ac:dyDescent="0.45">
      <c r="B435" s="48"/>
      <c r="C435" s="49"/>
      <c r="D435" s="10"/>
      <c r="E435" s="50"/>
      <c r="F435" s="50"/>
      <c r="G435" s="10"/>
    </row>
    <row r="436" spans="2:7" ht="28.5" customHeight="1" x14ac:dyDescent="0.45">
      <c r="B436" s="48"/>
      <c r="C436" s="49"/>
      <c r="D436" s="10"/>
      <c r="E436" s="50"/>
      <c r="F436" s="50"/>
      <c r="G436" s="10"/>
    </row>
    <row r="437" spans="2:7" ht="28.5" customHeight="1" x14ac:dyDescent="0.45">
      <c r="B437" s="48"/>
      <c r="C437" s="49"/>
      <c r="D437" s="10"/>
      <c r="E437" s="50"/>
      <c r="F437" s="50"/>
      <c r="G437" s="10"/>
    </row>
    <row r="438" spans="2:7" ht="28.5" customHeight="1" x14ac:dyDescent="0.45">
      <c r="B438" s="48"/>
      <c r="C438" s="49"/>
      <c r="D438" s="10"/>
      <c r="E438" s="50"/>
      <c r="F438" s="50"/>
      <c r="G438" s="10"/>
    </row>
    <row r="439" spans="2:7" ht="28.5" customHeight="1" x14ac:dyDescent="0.45">
      <c r="B439" s="48"/>
      <c r="C439" s="49"/>
      <c r="D439" s="10"/>
      <c r="E439" s="50"/>
      <c r="F439" s="50"/>
      <c r="G439" s="10"/>
    </row>
    <row r="440" spans="2:7" ht="28.5" customHeight="1" x14ac:dyDescent="0.45">
      <c r="B440" s="48"/>
      <c r="C440" s="49"/>
      <c r="D440" s="10"/>
      <c r="E440" s="50"/>
      <c r="F440" s="50"/>
      <c r="G440" s="10"/>
    </row>
    <row r="441" spans="2:7" ht="28.5" customHeight="1" x14ac:dyDescent="0.45">
      <c r="B441" s="48"/>
      <c r="C441" s="49"/>
      <c r="D441" s="10"/>
      <c r="E441" s="50"/>
      <c r="F441" s="50"/>
      <c r="G441" s="10"/>
    </row>
    <row r="442" spans="2:7" ht="28.5" customHeight="1" x14ac:dyDescent="0.45">
      <c r="B442" s="48"/>
      <c r="C442" s="49"/>
      <c r="D442" s="10"/>
      <c r="E442" s="50"/>
      <c r="F442" s="50"/>
      <c r="G442" s="10"/>
    </row>
    <row r="443" spans="2:7" ht="28.5" customHeight="1" x14ac:dyDescent="0.45">
      <c r="B443" s="48"/>
      <c r="C443" s="49"/>
      <c r="D443" s="10"/>
      <c r="E443" s="50"/>
      <c r="F443" s="50"/>
      <c r="G443" s="10"/>
    </row>
    <row r="444" spans="2:7" ht="28.5" customHeight="1" x14ac:dyDescent="0.45">
      <c r="B444" s="48"/>
      <c r="C444" s="49"/>
      <c r="D444" s="10"/>
      <c r="E444" s="50"/>
      <c r="F444" s="50"/>
      <c r="G444" s="10"/>
    </row>
    <row r="445" spans="2:7" ht="28.5" customHeight="1" x14ac:dyDescent="0.45">
      <c r="B445" s="48"/>
      <c r="C445" s="49"/>
      <c r="D445" s="10"/>
      <c r="E445" s="50"/>
      <c r="F445" s="50"/>
      <c r="G445" s="10"/>
    </row>
    <row r="446" spans="2:7" ht="28.5" customHeight="1" x14ac:dyDescent="0.45">
      <c r="B446" s="48"/>
      <c r="C446" s="49"/>
      <c r="D446" s="10"/>
      <c r="E446" s="50"/>
      <c r="F446" s="50"/>
      <c r="G446" s="10"/>
    </row>
    <row r="447" spans="2:7" ht="28.5" customHeight="1" x14ac:dyDescent="0.45">
      <c r="B447" s="48"/>
      <c r="C447" s="49"/>
      <c r="D447" s="10"/>
      <c r="E447" s="50"/>
      <c r="F447" s="50"/>
      <c r="G447" s="10"/>
    </row>
    <row r="448" spans="2:7" ht="28.5" customHeight="1" x14ac:dyDescent="0.45">
      <c r="B448" s="48"/>
      <c r="C448" s="49"/>
      <c r="D448" s="10"/>
      <c r="E448" s="50"/>
      <c r="F448" s="50"/>
      <c r="G448" s="10"/>
    </row>
    <row r="449" spans="2:7" ht="28.5" customHeight="1" x14ac:dyDescent="0.45">
      <c r="B449" s="48"/>
      <c r="C449" s="49"/>
      <c r="D449" s="10"/>
      <c r="E449" s="50"/>
      <c r="F449" s="50"/>
      <c r="G449" s="10"/>
    </row>
    <row r="450" spans="2:7" ht="28.5" customHeight="1" x14ac:dyDescent="0.45">
      <c r="B450" s="48"/>
      <c r="C450" s="49"/>
      <c r="D450" s="10"/>
      <c r="E450" s="50"/>
      <c r="F450" s="50"/>
      <c r="G450" s="10"/>
    </row>
    <row r="451" spans="2:7" ht="28.5" customHeight="1" x14ac:dyDescent="0.45">
      <c r="B451" s="48"/>
      <c r="C451" s="49"/>
      <c r="D451" s="10"/>
      <c r="E451" s="50"/>
      <c r="F451" s="50"/>
      <c r="G451" s="10"/>
    </row>
    <row r="452" spans="2:7" ht="28.5" customHeight="1" x14ac:dyDescent="0.45">
      <c r="B452" s="48"/>
      <c r="C452" s="49"/>
      <c r="D452" s="10"/>
      <c r="E452" s="50"/>
      <c r="F452" s="50"/>
      <c r="G452" s="10"/>
    </row>
    <row r="453" spans="2:7" ht="28.5" customHeight="1" x14ac:dyDescent="0.45">
      <c r="B453" s="48"/>
      <c r="C453" s="49"/>
      <c r="D453" s="10"/>
      <c r="E453" s="50"/>
      <c r="F453" s="50"/>
      <c r="G453" s="10"/>
    </row>
    <row r="454" spans="2:7" ht="28.5" customHeight="1" x14ac:dyDescent="0.45">
      <c r="B454" s="48"/>
      <c r="C454" s="49"/>
      <c r="D454" s="10"/>
      <c r="E454" s="50"/>
      <c r="F454" s="50"/>
      <c r="G454" s="10"/>
    </row>
    <row r="455" spans="2:7" ht="28.5" customHeight="1" x14ac:dyDescent="0.45">
      <c r="B455" s="48"/>
      <c r="C455" s="49"/>
      <c r="D455" s="10"/>
      <c r="E455" s="50"/>
      <c r="F455" s="50"/>
      <c r="G455" s="10"/>
    </row>
    <row r="456" spans="2:7" ht="28.5" customHeight="1" x14ac:dyDescent="0.45">
      <c r="B456" s="48"/>
      <c r="C456" s="49"/>
      <c r="D456" s="10"/>
      <c r="E456" s="50"/>
      <c r="F456" s="50"/>
      <c r="G456" s="10"/>
    </row>
    <row r="457" spans="2:7" ht="28.5" customHeight="1" x14ac:dyDescent="0.45">
      <c r="B457" s="48"/>
      <c r="C457" s="49"/>
      <c r="D457" s="10"/>
      <c r="E457" s="50"/>
      <c r="F457" s="50"/>
      <c r="G457" s="10"/>
    </row>
    <row r="458" spans="2:7" ht="28.5" customHeight="1" x14ac:dyDescent="0.45">
      <c r="B458" s="48"/>
      <c r="C458" s="49"/>
      <c r="D458" s="10"/>
      <c r="E458" s="50"/>
      <c r="F458" s="50"/>
      <c r="G458" s="10"/>
    </row>
    <row r="459" spans="2:7" ht="28.5" customHeight="1" x14ac:dyDescent="0.45">
      <c r="B459" s="48"/>
      <c r="C459" s="49"/>
      <c r="D459" s="10"/>
      <c r="E459" s="50"/>
      <c r="F459" s="50"/>
      <c r="G459" s="10"/>
    </row>
    <row r="460" spans="2:7" ht="28.5" customHeight="1" x14ac:dyDescent="0.45">
      <c r="B460" s="48"/>
      <c r="C460" s="49"/>
      <c r="D460" s="10"/>
      <c r="E460" s="50"/>
      <c r="F460" s="50"/>
      <c r="G460" s="10"/>
    </row>
    <row r="461" spans="2:7" ht="28.5" customHeight="1" x14ac:dyDescent="0.45">
      <c r="B461" s="48"/>
      <c r="C461" s="49"/>
      <c r="D461" s="10"/>
      <c r="E461" s="50"/>
      <c r="F461" s="50"/>
      <c r="G461" s="10"/>
    </row>
    <row r="462" spans="2:7" ht="28.5" customHeight="1" x14ac:dyDescent="0.45">
      <c r="B462" s="48"/>
      <c r="C462" s="49"/>
      <c r="D462" s="10"/>
      <c r="E462" s="50"/>
      <c r="F462" s="50"/>
      <c r="G462" s="10"/>
    </row>
    <row r="463" spans="2:7" ht="28.5" customHeight="1" x14ac:dyDescent="0.45">
      <c r="B463" s="48"/>
      <c r="C463" s="49"/>
      <c r="D463" s="10"/>
      <c r="E463" s="50"/>
      <c r="F463" s="50"/>
      <c r="G463" s="10"/>
    </row>
    <row r="464" spans="2:7" ht="28.5" customHeight="1" x14ac:dyDescent="0.45">
      <c r="B464" s="48"/>
      <c r="C464" s="49"/>
      <c r="D464" s="10"/>
      <c r="E464" s="50"/>
      <c r="F464" s="50"/>
      <c r="G464" s="10"/>
    </row>
    <row r="465" spans="2:7" ht="28.5" customHeight="1" x14ac:dyDescent="0.45">
      <c r="B465" s="48"/>
      <c r="C465" s="49"/>
      <c r="D465" s="10"/>
      <c r="E465" s="50"/>
      <c r="F465" s="50"/>
      <c r="G465" s="10"/>
    </row>
    <row r="466" spans="2:7" ht="28.5" customHeight="1" x14ac:dyDescent="0.45">
      <c r="B466" s="48"/>
      <c r="C466" s="49"/>
      <c r="D466" s="10"/>
      <c r="E466" s="50"/>
      <c r="F466" s="50"/>
      <c r="G466" s="10"/>
    </row>
    <row r="467" spans="2:7" ht="28.5" customHeight="1" x14ac:dyDescent="0.45">
      <c r="B467" s="48"/>
      <c r="C467" s="49"/>
      <c r="D467" s="10"/>
      <c r="E467" s="50"/>
      <c r="F467" s="50"/>
      <c r="G467" s="10"/>
    </row>
    <row r="468" spans="2:7" ht="28.5" customHeight="1" x14ac:dyDescent="0.45">
      <c r="B468" s="48"/>
      <c r="C468" s="49"/>
      <c r="D468" s="10"/>
      <c r="E468" s="50"/>
      <c r="F468" s="50"/>
      <c r="G468" s="10"/>
    </row>
    <row r="469" spans="2:7" ht="28.5" customHeight="1" x14ac:dyDescent="0.45">
      <c r="B469" s="48"/>
      <c r="C469" s="49"/>
      <c r="D469" s="10"/>
      <c r="E469" s="50"/>
      <c r="F469" s="50"/>
      <c r="G469" s="10"/>
    </row>
    <row r="470" spans="2:7" ht="28.5" customHeight="1" x14ac:dyDescent="0.45">
      <c r="B470" s="48"/>
      <c r="C470" s="49"/>
      <c r="D470" s="10"/>
      <c r="E470" s="50"/>
      <c r="F470" s="50"/>
      <c r="G470" s="10"/>
    </row>
    <row r="471" spans="2:7" ht="28.5" customHeight="1" x14ac:dyDescent="0.45">
      <c r="B471" s="48"/>
      <c r="C471" s="49"/>
      <c r="D471" s="10"/>
      <c r="E471" s="50"/>
      <c r="F471" s="50"/>
      <c r="G471" s="10"/>
    </row>
    <row r="472" spans="2:7" ht="28.5" customHeight="1" x14ac:dyDescent="0.45">
      <c r="B472" s="48"/>
      <c r="C472" s="49"/>
      <c r="D472" s="10"/>
      <c r="E472" s="50"/>
      <c r="F472" s="50"/>
      <c r="G472" s="10"/>
    </row>
    <row r="473" spans="2:7" ht="28.5" customHeight="1" x14ac:dyDescent="0.45">
      <c r="B473" s="48"/>
      <c r="C473" s="49"/>
      <c r="D473" s="10"/>
      <c r="E473" s="50"/>
      <c r="F473" s="50"/>
      <c r="G473" s="10"/>
    </row>
    <row r="474" spans="2:7" ht="28.5" customHeight="1" x14ac:dyDescent="0.45">
      <c r="B474" s="48"/>
      <c r="C474" s="49"/>
      <c r="D474" s="10"/>
      <c r="E474" s="50"/>
      <c r="F474" s="50"/>
      <c r="G474" s="10"/>
    </row>
    <row r="475" spans="2:7" ht="28.5" customHeight="1" x14ac:dyDescent="0.45">
      <c r="B475" s="48"/>
      <c r="C475" s="49"/>
      <c r="D475" s="10"/>
      <c r="E475" s="50"/>
      <c r="F475" s="50"/>
      <c r="G475" s="10"/>
    </row>
    <row r="476" spans="2:7" ht="28.5" customHeight="1" x14ac:dyDescent="0.45">
      <c r="B476" s="48"/>
      <c r="C476" s="49"/>
      <c r="D476" s="10"/>
      <c r="E476" s="50"/>
      <c r="F476" s="50"/>
      <c r="G476" s="10"/>
    </row>
    <row r="477" spans="2:7" ht="28.5" customHeight="1" x14ac:dyDescent="0.45">
      <c r="B477" s="48"/>
      <c r="C477" s="49"/>
      <c r="D477" s="10"/>
      <c r="E477" s="50"/>
      <c r="F477" s="50"/>
      <c r="G477" s="10"/>
    </row>
    <row r="478" spans="2:7" ht="28.5" customHeight="1" x14ac:dyDescent="0.45">
      <c r="B478" s="48"/>
      <c r="C478" s="49"/>
      <c r="D478" s="10"/>
      <c r="E478" s="50"/>
      <c r="F478" s="50"/>
      <c r="G478" s="10"/>
    </row>
    <row r="479" spans="2:7" ht="28.5" customHeight="1" x14ac:dyDescent="0.45">
      <c r="B479" s="48"/>
      <c r="C479" s="49"/>
      <c r="D479" s="10"/>
      <c r="E479" s="50"/>
      <c r="F479" s="50"/>
      <c r="G479" s="10"/>
    </row>
    <row r="480" spans="2:7" ht="28.5" customHeight="1" x14ac:dyDescent="0.45">
      <c r="B480" s="48"/>
      <c r="C480" s="49"/>
      <c r="D480" s="10"/>
      <c r="E480" s="50"/>
      <c r="F480" s="50"/>
      <c r="G480" s="10"/>
    </row>
    <row r="481" spans="2:7" ht="28.5" customHeight="1" x14ac:dyDescent="0.45">
      <c r="B481" s="48"/>
      <c r="C481" s="49"/>
      <c r="D481" s="10"/>
      <c r="E481" s="50"/>
      <c r="F481" s="50"/>
      <c r="G481" s="10"/>
    </row>
    <row r="482" spans="2:7" ht="28.5" customHeight="1" x14ac:dyDescent="0.45">
      <c r="B482" s="48"/>
      <c r="C482" s="49"/>
      <c r="D482" s="10"/>
      <c r="E482" s="50"/>
      <c r="F482" s="50"/>
      <c r="G482" s="10"/>
    </row>
    <row r="483" spans="2:7" ht="28.5" customHeight="1" x14ac:dyDescent="0.45">
      <c r="B483" s="48"/>
      <c r="C483" s="49"/>
      <c r="D483" s="10"/>
      <c r="E483" s="50"/>
      <c r="F483" s="50"/>
      <c r="G483" s="10"/>
    </row>
    <row r="484" spans="2:7" ht="28.5" customHeight="1" x14ac:dyDescent="0.45">
      <c r="B484" s="48"/>
      <c r="C484" s="49"/>
      <c r="D484" s="10"/>
      <c r="E484" s="50"/>
      <c r="F484" s="50"/>
      <c r="G484" s="10"/>
    </row>
    <row r="485" spans="2:7" ht="28.5" customHeight="1" x14ac:dyDescent="0.45">
      <c r="B485" s="48"/>
      <c r="C485" s="49"/>
      <c r="D485" s="10"/>
      <c r="E485" s="50"/>
      <c r="F485" s="50"/>
      <c r="G485" s="10"/>
    </row>
    <row r="486" spans="2:7" ht="28.5" customHeight="1" x14ac:dyDescent="0.45">
      <c r="B486" s="48"/>
      <c r="C486" s="49"/>
      <c r="D486" s="10"/>
      <c r="E486" s="50"/>
      <c r="F486" s="50"/>
      <c r="G486" s="10"/>
    </row>
    <row r="487" spans="2:7" ht="28.5" customHeight="1" x14ac:dyDescent="0.45">
      <c r="B487" s="48"/>
      <c r="C487" s="49"/>
      <c r="D487" s="10"/>
      <c r="E487" s="50"/>
      <c r="F487" s="50"/>
      <c r="G487" s="10"/>
    </row>
    <row r="488" spans="2:7" ht="28.5" customHeight="1" x14ac:dyDescent="0.45">
      <c r="B488" s="48"/>
      <c r="C488" s="49"/>
      <c r="D488" s="10"/>
      <c r="E488" s="50"/>
      <c r="F488" s="50"/>
      <c r="G488" s="10"/>
    </row>
    <row r="489" spans="2:7" ht="28.5" customHeight="1" x14ac:dyDescent="0.45">
      <c r="B489" s="48"/>
      <c r="C489" s="49"/>
      <c r="D489" s="10"/>
      <c r="E489" s="50"/>
      <c r="F489" s="50"/>
      <c r="G489" s="10"/>
    </row>
    <row r="490" spans="2:7" ht="28.5" customHeight="1" x14ac:dyDescent="0.45">
      <c r="B490" s="48"/>
      <c r="C490" s="49"/>
      <c r="D490" s="10"/>
      <c r="E490" s="50"/>
      <c r="F490" s="50"/>
      <c r="G490" s="10"/>
    </row>
    <row r="491" spans="2:7" ht="28.5" customHeight="1" x14ac:dyDescent="0.45">
      <c r="B491" s="48"/>
      <c r="C491" s="49"/>
      <c r="D491" s="10"/>
      <c r="E491" s="50"/>
      <c r="F491" s="50"/>
      <c r="G491" s="10"/>
    </row>
    <row r="492" spans="2:7" ht="28.5" customHeight="1" x14ac:dyDescent="0.45">
      <c r="B492" s="48"/>
      <c r="C492" s="49"/>
      <c r="D492" s="10"/>
      <c r="E492" s="50"/>
      <c r="F492" s="50"/>
      <c r="G492" s="10"/>
    </row>
    <row r="493" spans="2:7" ht="28.5" customHeight="1" x14ac:dyDescent="0.45">
      <c r="B493" s="48"/>
      <c r="C493" s="49"/>
      <c r="D493" s="10"/>
      <c r="E493" s="50"/>
      <c r="F493" s="50"/>
      <c r="G493" s="10"/>
    </row>
    <row r="494" spans="2:7" ht="28.5" customHeight="1" x14ac:dyDescent="0.45">
      <c r="B494" s="48"/>
      <c r="C494" s="49"/>
      <c r="D494" s="10"/>
      <c r="E494" s="50"/>
      <c r="F494" s="50"/>
      <c r="G494" s="10"/>
    </row>
    <row r="495" spans="2:7" ht="28.5" customHeight="1" x14ac:dyDescent="0.45">
      <c r="B495" s="48"/>
      <c r="C495" s="49"/>
      <c r="D495" s="10"/>
      <c r="E495" s="50"/>
      <c r="F495" s="50"/>
      <c r="G495" s="10"/>
    </row>
    <row r="496" spans="2:7" ht="28.5" customHeight="1" x14ac:dyDescent="0.45">
      <c r="B496" s="48"/>
      <c r="C496" s="49"/>
      <c r="D496" s="10"/>
      <c r="E496" s="50"/>
      <c r="F496" s="50"/>
      <c r="G496" s="10"/>
    </row>
    <row r="497" spans="2:7" ht="28.5" customHeight="1" x14ac:dyDescent="0.45">
      <c r="B497" s="48"/>
      <c r="C497" s="49"/>
      <c r="D497" s="10"/>
      <c r="E497" s="50"/>
      <c r="F497" s="50"/>
      <c r="G497" s="10"/>
    </row>
    <row r="498" spans="2:7" ht="28.5" customHeight="1" x14ac:dyDescent="0.45">
      <c r="B498" s="48"/>
      <c r="C498" s="49"/>
      <c r="D498" s="10"/>
      <c r="E498" s="50"/>
      <c r="F498" s="50"/>
      <c r="G498" s="10"/>
    </row>
    <row r="499" spans="2:7" ht="28.5" customHeight="1" x14ac:dyDescent="0.45">
      <c r="B499" s="48"/>
      <c r="C499" s="49"/>
      <c r="D499" s="10"/>
      <c r="E499" s="50"/>
      <c r="F499" s="50"/>
      <c r="G499" s="10"/>
    </row>
    <row r="500" spans="2:7" ht="28.5" customHeight="1" x14ac:dyDescent="0.45">
      <c r="B500" s="48"/>
      <c r="C500" s="49"/>
      <c r="D500" s="10"/>
      <c r="E500" s="50"/>
      <c r="F500" s="50"/>
      <c r="G500" s="10"/>
    </row>
    <row r="501" spans="2:7" ht="28.5" customHeight="1" x14ac:dyDescent="0.45">
      <c r="B501" s="48"/>
      <c r="C501" s="49"/>
      <c r="D501" s="10"/>
      <c r="E501" s="50"/>
      <c r="F501" s="50"/>
      <c r="G501" s="10"/>
    </row>
    <row r="502" spans="2:7" ht="28.5" customHeight="1" x14ac:dyDescent="0.45">
      <c r="B502" s="48"/>
      <c r="C502" s="49"/>
      <c r="D502" s="10"/>
      <c r="E502" s="50"/>
      <c r="F502" s="50"/>
      <c r="G502" s="10"/>
    </row>
    <row r="503" spans="2:7" ht="28.5" customHeight="1" x14ac:dyDescent="0.45">
      <c r="B503" s="48"/>
      <c r="C503" s="49"/>
      <c r="D503" s="10"/>
      <c r="E503" s="50"/>
      <c r="F503" s="50"/>
      <c r="G503" s="10"/>
    </row>
    <row r="504" spans="2:7" ht="28.5" customHeight="1" x14ac:dyDescent="0.45">
      <c r="B504" s="48"/>
      <c r="C504" s="49"/>
      <c r="D504" s="10"/>
      <c r="E504" s="50"/>
      <c r="F504" s="50"/>
      <c r="G504" s="10"/>
    </row>
    <row r="505" spans="2:7" ht="28.5" customHeight="1" x14ac:dyDescent="0.45">
      <c r="B505" s="48"/>
      <c r="C505" s="49"/>
      <c r="D505" s="10"/>
      <c r="E505" s="50"/>
      <c r="F505" s="50"/>
      <c r="G505" s="10"/>
    </row>
    <row r="506" spans="2:7" ht="28.5" customHeight="1" x14ac:dyDescent="0.45">
      <c r="B506" s="48"/>
      <c r="C506" s="49"/>
      <c r="D506" s="10"/>
      <c r="E506" s="50"/>
      <c r="F506" s="50"/>
      <c r="G506" s="10"/>
    </row>
    <row r="507" spans="2:7" ht="28.5" customHeight="1" x14ac:dyDescent="0.45">
      <c r="B507" s="48"/>
      <c r="C507" s="49"/>
      <c r="D507" s="10"/>
      <c r="E507" s="50"/>
      <c r="F507" s="50"/>
      <c r="G507" s="10"/>
    </row>
    <row r="508" spans="2:7" ht="28.5" customHeight="1" x14ac:dyDescent="0.45">
      <c r="B508" s="48"/>
      <c r="C508" s="49"/>
      <c r="D508" s="10"/>
      <c r="E508" s="50"/>
      <c r="F508" s="50"/>
      <c r="G508" s="10"/>
    </row>
    <row r="509" spans="2:7" ht="28.5" customHeight="1" x14ac:dyDescent="0.45">
      <c r="B509" s="48"/>
      <c r="C509" s="49"/>
      <c r="D509" s="10"/>
      <c r="E509" s="50"/>
      <c r="F509" s="50"/>
      <c r="G509" s="10"/>
    </row>
    <row r="510" spans="2:7" ht="28.5" customHeight="1" x14ac:dyDescent="0.45">
      <c r="B510" s="48"/>
      <c r="C510" s="49"/>
      <c r="D510" s="10"/>
      <c r="E510" s="50"/>
      <c r="F510" s="50"/>
      <c r="G510" s="10"/>
    </row>
    <row r="511" spans="2:7" ht="28.5" customHeight="1" x14ac:dyDescent="0.45">
      <c r="B511" s="48"/>
      <c r="C511" s="49"/>
      <c r="D511" s="10"/>
      <c r="E511" s="50"/>
      <c r="F511" s="50"/>
      <c r="G511" s="10"/>
    </row>
    <row r="512" spans="2:7" ht="28.5" customHeight="1" x14ac:dyDescent="0.45">
      <c r="B512" s="48"/>
      <c r="C512" s="49"/>
      <c r="D512" s="10"/>
      <c r="E512" s="50"/>
      <c r="F512" s="50"/>
      <c r="G512" s="10"/>
    </row>
    <row r="513" spans="2:7" ht="28.5" customHeight="1" x14ac:dyDescent="0.45">
      <c r="B513" s="48"/>
      <c r="C513" s="49"/>
      <c r="D513" s="10"/>
      <c r="E513" s="50"/>
      <c r="F513" s="50"/>
      <c r="G513" s="10"/>
    </row>
    <row r="514" spans="2:7" ht="28.5" customHeight="1" x14ac:dyDescent="0.45">
      <c r="B514" s="48"/>
      <c r="C514" s="49"/>
      <c r="D514" s="10"/>
      <c r="E514" s="50"/>
      <c r="F514" s="50"/>
      <c r="G514" s="10"/>
    </row>
    <row r="515" spans="2:7" ht="28.5" customHeight="1" x14ac:dyDescent="0.45">
      <c r="B515" s="48"/>
      <c r="C515" s="49"/>
      <c r="D515" s="10"/>
      <c r="E515" s="50"/>
      <c r="F515" s="50"/>
      <c r="G515" s="10"/>
    </row>
    <row r="516" spans="2:7" ht="28.5" customHeight="1" x14ac:dyDescent="0.45">
      <c r="B516" s="48"/>
      <c r="C516" s="49"/>
      <c r="D516" s="10"/>
      <c r="E516" s="50"/>
      <c r="F516" s="50"/>
      <c r="G516" s="10"/>
    </row>
    <row r="517" spans="2:7" ht="28.5" customHeight="1" x14ac:dyDescent="0.45">
      <c r="B517" s="48"/>
      <c r="C517" s="49"/>
      <c r="D517" s="10"/>
      <c r="E517" s="50"/>
      <c r="F517" s="50"/>
      <c r="G517" s="10"/>
    </row>
    <row r="518" spans="2:7" ht="28.5" customHeight="1" x14ac:dyDescent="0.45">
      <c r="B518" s="48"/>
      <c r="C518" s="49"/>
      <c r="D518" s="10"/>
      <c r="E518" s="50"/>
      <c r="F518" s="50"/>
      <c r="G518" s="10"/>
    </row>
    <row r="519" spans="2:7" ht="28.5" customHeight="1" x14ac:dyDescent="0.45">
      <c r="B519" s="48"/>
      <c r="C519" s="49"/>
      <c r="D519" s="10"/>
      <c r="E519" s="50"/>
      <c r="F519" s="50"/>
      <c r="G519" s="10"/>
    </row>
    <row r="520" spans="2:7" ht="28.5" customHeight="1" x14ac:dyDescent="0.45">
      <c r="B520" s="48"/>
      <c r="C520" s="49"/>
      <c r="D520" s="10"/>
      <c r="E520" s="50"/>
      <c r="F520" s="50"/>
      <c r="G520" s="10"/>
    </row>
    <row r="521" spans="2:7" ht="28.5" customHeight="1" x14ac:dyDescent="0.45">
      <c r="B521" s="48"/>
      <c r="C521" s="49"/>
      <c r="D521" s="10"/>
      <c r="E521" s="50"/>
      <c r="F521" s="50"/>
      <c r="G521" s="10"/>
    </row>
    <row r="522" spans="2:7" ht="28.5" customHeight="1" x14ac:dyDescent="0.45">
      <c r="B522" s="48"/>
      <c r="C522" s="49"/>
      <c r="D522" s="10"/>
      <c r="E522" s="50"/>
      <c r="F522" s="50"/>
      <c r="G522" s="10"/>
    </row>
    <row r="523" spans="2:7" ht="28.5" customHeight="1" x14ac:dyDescent="0.45">
      <c r="B523" s="48"/>
      <c r="C523" s="49"/>
      <c r="D523" s="10"/>
      <c r="E523" s="50"/>
      <c r="F523" s="50"/>
      <c r="G523" s="10"/>
    </row>
    <row r="524" spans="2:7" ht="28.5" customHeight="1" x14ac:dyDescent="0.45">
      <c r="B524" s="48"/>
      <c r="C524" s="49"/>
      <c r="D524" s="10"/>
      <c r="E524" s="50"/>
      <c r="F524" s="50"/>
      <c r="G524" s="10"/>
    </row>
    <row r="525" spans="2:7" ht="28.5" customHeight="1" x14ac:dyDescent="0.45">
      <c r="B525" s="48"/>
      <c r="C525" s="49"/>
      <c r="D525" s="10"/>
      <c r="E525" s="50"/>
      <c r="F525" s="50"/>
      <c r="G525" s="10"/>
    </row>
    <row r="526" spans="2:7" ht="28.5" customHeight="1" x14ac:dyDescent="0.45">
      <c r="B526" s="48"/>
      <c r="C526" s="49"/>
      <c r="D526" s="10"/>
      <c r="E526" s="50"/>
      <c r="F526" s="50"/>
      <c r="G526" s="10"/>
    </row>
    <row r="527" spans="2:7" ht="28.5" customHeight="1" x14ac:dyDescent="0.45">
      <c r="B527" s="48"/>
      <c r="C527" s="49"/>
      <c r="D527" s="10"/>
      <c r="E527" s="50"/>
      <c r="F527" s="50"/>
      <c r="G527" s="10"/>
    </row>
    <row r="528" spans="2:7" ht="28.5" customHeight="1" x14ac:dyDescent="0.45">
      <c r="B528" s="48"/>
      <c r="C528" s="49"/>
      <c r="D528" s="10"/>
      <c r="E528" s="50"/>
      <c r="F528" s="50"/>
      <c r="G528" s="10"/>
    </row>
    <row r="529" spans="2:7" ht="28.5" customHeight="1" x14ac:dyDescent="0.45">
      <c r="B529" s="48"/>
      <c r="C529" s="49"/>
      <c r="D529" s="10"/>
      <c r="E529" s="50"/>
      <c r="F529" s="50"/>
      <c r="G529" s="10"/>
    </row>
    <row r="530" spans="2:7" ht="28.5" customHeight="1" x14ac:dyDescent="0.45">
      <c r="B530" s="48"/>
      <c r="C530" s="49"/>
      <c r="D530" s="10"/>
      <c r="E530" s="50"/>
      <c r="F530" s="50"/>
      <c r="G530" s="10"/>
    </row>
    <row r="531" spans="2:7" ht="28.5" customHeight="1" x14ac:dyDescent="0.45">
      <c r="B531" s="48"/>
      <c r="C531" s="49"/>
      <c r="D531" s="10"/>
      <c r="E531" s="50"/>
      <c r="F531" s="50"/>
      <c r="G531" s="10"/>
    </row>
    <row r="532" spans="2:7" ht="28.5" customHeight="1" x14ac:dyDescent="0.45">
      <c r="B532" s="48"/>
      <c r="C532" s="49"/>
      <c r="D532" s="10"/>
      <c r="E532" s="50"/>
      <c r="F532" s="50"/>
      <c r="G532" s="10"/>
    </row>
    <row r="533" spans="2:7" ht="28.5" customHeight="1" x14ac:dyDescent="0.45">
      <c r="B533" s="48"/>
      <c r="C533" s="49"/>
      <c r="D533" s="10"/>
      <c r="E533" s="50"/>
      <c r="F533" s="50"/>
      <c r="G533" s="10"/>
    </row>
    <row r="534" spans="2:7" ht="28.5" customHeight="1" x14ac:dyDescent="0.45">
      <c r="B534" s="48"/>
      <c r="C534" s="49"/>
      <c r="D534" s="10"/>
      <c r="E534" s="50"/>
      <c r="F534" s="50"/>
      <c r="G534" s="10"/>
    </row>
    <row r="535" spans="2:7" ht="28.5" customHeight="1" x14ac:dyDescent="0.45">
      <c r="B535" s="48"/>
      <c r="C535" s="49"/>
      <c r="D535" s="10"/>
      <c r="E535" s="50"/>
      <c r="F535" s="50"/>
      <c r="G535" s="10"/>
    </row>
    <row r="536" spans="2:7" ht="28.5" customHeight="1" x14ac:dyDescent="0.45">
      <c r="B536" s="48"/>
      <c r="C536" s="49"/>
      <c r="D536" s="10"/>
      <c r="E536" s="50"/>
      <c r="F536" s="50"/>
      <c r="G536" s="10"/>
    </row>
    <row r="537" spans="2:7" ht="28.5" customHeight="1" x14ac:dyDescent="0.45">
      <c r="B537" s="48"/>
      <c r="C537" s="49"/>
      <c r="D537" s="10"/>
      <c r="E537" s="50"/>
      <c r="F537" s="50"/>
      <c r="G537" s="10"/>
    </row>
    <row r="538" spans="2:7" ht="28.5" customHeight="1" x14ac:dyDescent="0.45">
      <c r="B538" s="48"/>
      <c r="C538" s="49"/>
      <c r="D538" s="10"/>
      <c r="E538" s="50"/>
      <c r="F538" s="50"/>
      <c r="G538" s="10"/>
    </row>
    <row r="539" spans="2:7" ht="28.5" customHeight="1" x14ac:dyDescent="0.45">
      <c r="B539" s="48"/>
      <c r="C539" s="49"/>
      <c r="D539" s="10"/>
      <c r="E539" s="50"/>
      <c r="F539" s="50"/>
      <c r="G539" s="10"/>
    </row>
    <row r="540" spans="2:7" ht="28.5" customHeight="1" x14ac:dyDescent="0.45">
      <c r="B540" s="48"/>
      <c r="C540" s="49"/>
      <c r="D540" s="10"/>
      <c r="E540" s="50"/>
      <c r="F540" s="50"/>
      <c r="G540" s="10"/>
    </row>
    <row r="541" spans="2:7" ht="28.5" customHeight="1" x14ac:dyDescent="0.45">
      <c r="B541" s="48"/>
      <c r="C541" s="49"/>
      <c r="D541" s="10"/>
      <c r="E541" s="50"/>
      <c r="F541" s="50"/>
      <c r="G541" s="10"/>
    </row>
    <row r="542" spans="2:7" ht="28.5" customHeight="1" x14ac:dyDescent="0.45">
      <c r="B542" s="48"/>
      <c r="C542" s="49"/>
      <c r="D542" s="10"/>
      <c r="E542" s="50"/>
      <c r="F542" s="50"/>
      <c r="G542" s="10"/>
    </row>
    <row r="543" spans="2:7" ht="28.5" customHeight="1" x14ac:dyDescent="0.45">
      <c r="B543" s="48"/>
      <c r="C543" s="49"/>
      <c r="D543" s="10"/>
      <c r="E543" s="50"/>
      <c r="F543" s="50"/>
      <c r="G543" s="10"/>
    </row>
    <row r="544" spans="2:7" ht="28.5" customHeight="1" x14ac:dyDescent="0.45">
      <c r="B544" s="48"/>
      <c r="C544" s="49"/>
      <c r="D544" s="10"/>
      <c r="E544" s="50"/>
      <c r="F544" s="50"/>
      <c r="G544" s="10"/>
    </row>
    <row r="545" spans="2:7" ht="28.5" customHeight="1" x14ac:dyDescent="0.45">
      <c r="B545" s="48"/>
      <c r="C545" s="49"/>
      <c r="D545" s="10"/>
      <c r="E545" s="50"/>
      <c r="F545" s="50"/>
      <c r="G545" s="10"/>
    </row>
    <row r="546" spans="2:7" ht="28.5" customHeight="1" x14ac:dyDescent="0.45">
      <c r="B546" s="48"/>
      <c r="C546" s="49"/>
      <c r="D546" s="10"/>
      <c r="E546" s="50"/>
      <c r="F546" s="50"/>
      <c r="G546" s="10"/>
    </row>
    <row r="547" spans="2:7" ht="28.5" customHeight="1" x14ac:dyDescent="0.45">
      <c r="B547" s="48"/>
      <c r="C547" s="49"/>
      <c r="D547" s="10"/>
      <c r="E547" s="50"/>
      <c r="F547" s="50"/>
      <c r="G547" s="10"/>
    </row>
    <row r="548" spans="2:7" ht="28.5" customHeight="1" x14ac:dyDescent="0.45">
      <c r="B548" s="48"/>
      <c r="C548" s="49"/>
      <c r="D548" s="10"/>
      <c r="E548" s="50"/>
      <c r="F548" s="50"/>
      <c r="G548" s="10"/>
    </row>
    <row r="549" spans="2:7" ht="28.5" customHeight="1" x14ac:dyDescent="0.45">
      <c r="B549" s="48"/>
      <c r="C549" s="49"/>
      <c r="D549" s="10"/>
      <c r="E549" s="50"/>
      <c r="F549" s="50"/>
      <c r="G549" s="10"/>
    </row>
    <row r="550" spans="2:7" ht="28.5" customHeight="1" x14ac:dyDescent="0.45">
      <c r="B550" s="48"/>
      <c r="C550" s="49"/>
      <c r="D550" s="10"/>
      <c r="E550" s="50"/>
      <c r="F550" s="50"/>
      <c r="G550" s="10"/>
    </row>
    <row r="551" spans="2:7" ht="28.5" customHeight="1" x14ac:dyDescent="0.45">
      <c r="B551" s="48"/>
      <c r="C551" s="49"/>
      <c r="D551" s="10"/>
      <c r="E551" s="50"/>
      <c r="F551" s="50"/>
      <c r="G551" s="10"/>
    </row>
    <row r="552" spans="2:7" ht="28.5" customHeight="1" x14ac:dyDescent="0.45">
      <c r="B552" s="48"/>
      <c r="C552" s="49"/>
      <c r="D552" s="10"/>
      <c r="E552" s="50"/>
      <c r="F552" s="50"/>
      <c r="G552" s="10"/>
    </row>
    <row r="553" spans="2:7" ht="28.5" customHeight="1" x14ac:dyDescent="0.45">
      <c r="B553" s="48"/>
      <c r="C553" s="49"/>
      <c r="D553" s="10"/>
      <c r="E553" s="50"/>
      <c r="F553" s="50"/>
      <c r="G553" s="10"/>
    </row>
    <row r="554" spans="2:7" ht="28.5" customHeight="1" x14ac:dyDescent="0.45">
      <c r="B554" s="48"/>
      <c r="C554" s="49"/>
      <c r="D554" s="10"/>
      <c r="E554" s="50"/>
      <c r="F554" s="50"/>
      <c r="G554" s="10"/>
    </row>
    <row r="555" spans="2:7" ht="28.5" customHeight="1" x14ac:dyDescent="0.45">
      <c r="B555" s="48"/>
      <c r="C555" s="49"/>
      <c r="D555" s="10"/>
      <c r="E555" s="50"/>
      <c r="F555" s="50"/>
      <c r="G555" s="10"/>
    </row>
    <row r="556" spans="2:7" ht="28.5" customHeight="1" x14ac:dyDescent="0.45">
      <c r="B556" s="48"/>
      <c r="C556" s="49"/>
      <c r="D556" s="10"/>
      <c r="E556" s="50"/>
      <c r="F556" s="50"/>
      <c r="G556" s="10"/>
    </row>
    <row r="557" spans="2:7" ht="28.5" customHeight="1" x14ac:dyDescent="0.45">
      <c r="B557" s="48"/>
      <c r="C557" s="49"/>
      <c r="D557" s="10"/>
      <c r="E557" s="50"/>
      <c r="F557" s="50"/>
      <c r="G557" s="10"/>
    </row>
    <row r="558" spans="2:7" ht="28.5" customHeight="1" x14ac:dyDescent="0.45">
      <c r="B558" s="48"/>
      <c r="C558" s="49"/>
      <c r="D558" s="10"/>
      <c r="E558" s="50"/>
      <c r="F558" s="50"/>
      <c r="G558" s="10"/>
    </row>
    <row r="559" spans="2:7" ht="28.5" customHeight="1" x14ac:dyDescent="0.45">
      <c r="B559" s="48"/>
      <c r="C559" s="49"/>
      <c r="D559" s="10"/>
      <c r="E559" s="50"/>
      <c r="F559" s="50"/>
      <c r="G559" s="10"/>
    </row>
    <row r="560" spans="2:7" ht="28.5" customHeight="1" x14ac:dyDescent="0.45">
      <c r="B560" s="48"/>
      <c r="C560" s="49"/>
      <c r="D560" s="10"/>
      <c r="E560" s="50"/>
      <c r="F560" s="50"/>
      <c r="G560" s="10"/>
    </row>
    <row r="561" spans="2:7" ht="28.5" customHeight="1" x14ac:dyDescent="0.45">
      <c r="B561" s="48"/>
      <c r="C561" s="49"/>
      <c r="D561" s="10"/>
      <c r="E561" s="50"/>
      <c r="F561" s="50"/>
      <c r="G561" s="10"/>
    </row>
    <row r="562" spans="2:7" ht="28.5" customHeight="1" x14ac:dyDescent="0.45">
      <c r="B562" s="48"/>
      <c r="C562" s="49"/>
      <c r="D562" s="10"/>
      <c r="E562" s="50"/>
      <c r="F562" s="50"/>
      <c r="G562" s="10"/>
    </row>
    <row r="563" spans="2:7" ht="28.5" customHeight="1" x14ac:dyDescent="0.45">
      <c r="B563" s="48"/>
      <c r="C563" s="49"/>
      <c r="D563" s="10"/>
      <c r="E563" s="50"/>
      <c r="F563" s="50"/>
      <c r="G563" s="10"/>
    </row>
    <row r="564" spans="2:7" ht="28.5" customHeight="1" x14ac:dyDescent="0.45">
      <c r="B564" s="48"/>
      <c r="C564" s="49"/>
      <c r="D564" s="10"/>
      <c r="E564" s="50"/>
      <c r="F564" s="50"/>
      <c r="G564" s="10"/>
    </row>
    <row r="565" spans="2:7" ht="28.5" customHeight="1" x14ac:dyDescent="0.45">
      <c r="B565" s="48"/>
      <c r="C565" s="49"/>
      <c r="D565" s="10"/>
      <c r="E565" s="50"/>
      <c r="F565" s="50"/>
      <c r="G565" s="10"/>
    </row>
    <row r="566" spans="2:7" ht="28.5" customHeight="1" x14ac:dyDescent="0.45">
      <c r="B566" s="48"/>
      <c r="C566" s="49"/>
      <c r="D566" s="10"/>
      <c r="E566" s="50"/>
      <c r="F566" s="50"/>
      <c r="G566" s="10"/>
    </row>
    <row r="567" spans="2:7" ht="28.5" customHeight="1" x14ac:dyDescent="0.45">
      <c r="B567" s="48"/>
      <c r="C567" s="49"/>
      <c r="D567" s="10"/>
      <c r="E567" s="50"/>
      <c r="F567" s="50"/>
      <c r="G567" s="10"/>
    </row>
    <row r="568" spans="2:7" ht="28.5" customHeight="1" x14ac:dyDescent="0.45">
      <c r="B568" s="48"/>
      <c r="C568" s="49"/>
      <c r="D568" s="10"/>
      <c r="E568" s="50"/>
      <c r="F568" s="50"/>
      <c r="G568" s="10"/>
    </row>
    <row r="569" spans="2:7" ht="28.5" customHeight="1" x14ac:dyDescent="0.45">
      <c r="B569" s="48"/>
      <c r="C569" s="49"/>
      <c r="D569" s="10"/>
      <c r="E569" s="50"/>
      <c r="F569" s="50"/>
      <c r="G569" s="10"/>
    </row>
    <row r="570" spans="2:7" ht="28.5" customHeight="1" x14ac:dyDescent="0.45">
      <c r="B570" s="48"/>
      <c r="C570" s="49"/>
      <c r="D570" s="10"/>
      <c r="E570" s="50"/>
      <c r="F570" s="50"/>
      <c r="G570" s="10"/>
    </row>
    <row r="571" spans="2:7" ht="28.5" customHeight="1" x14ac:dyDescent="0.45">
      <c r="B571" s="48"/>
      <c r="C571" s="49"/>
      <c r="D571" s="10"/>
      <c r="E571" s="50"/>
      <c r="F571" s="50"/>
      <c r="G571" s="10"/>
    </row>
    <row r="572" spans="2:7" ht="28.5" customHeight="1" x14ac:dyDescent="0.45">
      <c r="B572" s="48"/>
      <c r="C572" s="49"/>
      <c r="D572" s="10"/>
      <c r="E572" s="50"/>
      <c r="F572" s="50"/>
      <c r="G572" s="10"/>
    </row>
    <row r="573" spans="2:7" ht="28.5" customHeight="1" x14ac:dyDescent="0.45">
      <c r="B573" s="48"/>
      <c r="C573" s="49"/>
      <c r="D573" s="10"/>
      <c r="E573" s="50"/>
      <c r="F573" s="50"/>
      <c r="G573" s="10"/>
    </row>
    <row r="574" spans="2:7" ht="28.5" customHeight="1" x14ac:dyDescent="0.45">
      <c r="B574" s="48"/>
      <c r="C574" s="49"/>
      <c r="D574" s="10"/>
      <c r="E574" s="50"/>
      <c r="F574" s="50"/>
      <c r="G574" s="10"/>
    </row>
    <row r="575" spans="2:7" ht="28.5" customHeight="1" x14ac:dyDescent="0.45">
      <c r="B575" s="48"/>
      <c r="C575" s="49"/>
      <c r="D575" s="10"/>
      <c r="E575" s="50"/>
      <c r="F575" s="50"/>
      <c r="G575" s="10"/>
    </row>
    <row r="576" spans="2:7" ht="28.5" customHeight="1" x14ac:dyDescent="0.45">
      <c r="B576" s="48"/>
      <c r="C576" s="49"/>
      <c r="D576" s="10"/>
      <c r="E576" s="50"/>
      <c r="F576" s="50"/>
      <c r="G576" s="10"/>
    </row>
    <row r="577" spans="2:7" ht="28.5" customHeight="1" x14ac:dyDescent="0.45">
      <c r="B577" s="48"/>
      <c r="C577" s="49"/>
      <c r="D577" s="10"/>
      <c r="E577" s="50"/>
      <c r="F577" s="50"/>
      <c r="G577" s="10"/>
    </row>
    <row r="578" spans="2:7" ht="28.5" customHeight="1" x14ac:dyDescent="0.45">
      <c r="B578" s="48"/>
      <c r="C578" s="49"/>
      <c r="D578" s="10"/>
      <c r="E578" s="50"/>
      <c r="F578" s="50"/>
      <c r="G578" s="10"/>
    </row>
    <row r="579" spans="2:7" ht="28.5" customHeight="1" x14ac:dyDescent="0.45">
      <c r="B579" s="48"/>
      <c r="C579" s="49"/>
      <c r="D579" s="10"/>
      <c r="E579" s="50"/>
      <c r="F579" s="50"/>
      <c r="G579" s="10"/>
    </row>
    <row r="580" spans="2:7" ht="28.5" customHeight="1" x14ac:dyDescent="0.45">
      <c r="B580" s="48"/>
      <c r="C580" s="49"/>
      <c r="D580" s="10"/>
      <c r="E580" s="50"/>
      <c r="F580" s="50"/>
      <c r="G580" s="10"/>
    </row>
    <row r="581" spans="2:7" ht="28.5" customHeight="1" x14ac:dyDescent="0.45">
      <c r="B581" s="48"/>
      <c r="C581" s="49"/>
      <c r="D581" s="10"/>
      <c r="E581" s="50"/>
      <c r="F581" s="50"/>
      <c r="G581" s="10"/>
    </row>
    <row r="582" spans="2:7" ht="28.5" customHeight="1" x14ac:dyDescent="0.45">
      <c r="B582" s="48"/>
      <c r="C582" s="49"/>
      <c r="D582" s="10"/>
      <c r="E582" s="50"/>
      <c r="F582" s="50"/>
      <c r="G582" s="10"/>
    </row>
    <row r="583" spans="2:7" ht="28.5" customHeight="1" x14ac:dyDescent="0.45">
      <c r="B583" s="48"/>
      <c r="C583" s="49"/>
      <c r="D583" s="10"/>
      <c r="E583" s="50"/>
      <c r="F583" s="50"/>
      <c r="G583" s="10"/>
    </row>
    <row r="584" spans="2:7" ht="28.5" customHeight="1" x14ac:dyDescent="0.45">
      <c r="B584" s="48"/>
      <c r="C584" s="49"/>
      <c r="D584" s="10"/>
      <c r="E584" s="50"/>
      <c r="F584" s="50"/>
      <c r="G584" s="10"/>
    </row>
    <row r="585" spans="2:7" ht="28.5" customHeight="1" x14ac:dyDescent="0.45">
      <c r="B585" s="48"/>
      <c r="C585" s="49"/>
      <c r="D585" s="10"/>
      <c r="E585" s="50"/>
      <c r="F585" s="50"/>
      <c r="G585" s="10"/>
    </row>
    <row r="586" spans="2:7" ht="28.5" customHeight="1" x14ac:dyDescent="0.45">
      <c r="B586" s="48"/>
      <c r="C586" s="49"/>
      <c r="D586" s="10"/>
      <c r="E586" s="50"/>
      <c r="F586" s="50"/>
      <c r="G586" s="10"/>
    </row>
    <row r="587" spans="2:7" ht="28.5" customHeight="1" x14ac:dyDescent="0.45">
      <c r="B587" s="48"/>
      <c r="C587" s="49"/>
      <c r="D587" s="10"/>
      <c r="E587" s="50"/>
      <c r="F587" s="50"/>
      <c r="G587" s="10"/>
    </row>
    <row r="588" spans="2:7" ht="28.5" customHeight="1" x14ac:dyDescent="0.45">
      <c r="B588" s="48"/>
      <c r="C588" s="49"/>
      <c r="D588" s="10"/>
      <c r="E588" s="50"/>
      <c r="F588" s="50"/>
      <c r="G588" s="10"/>
    </row>
    <row r="589" spans="2:7" ht="28.5" customHeight="1" x14ac:dyDescent="0.45">
      <c r="B589" s="48"/>
      <c r="C589" s="49"/>
      <c r="D589" s="10"/>
      <c r="E589" s="50"/>
      <c r="F589" s="50"/>
      <c r="G589" s="10"/>
    </row>
    <row r="590" spans="2:7" ht="28.5" customHeight="1" x14ac:dyDescent="0.45">
      <c r="B590" s="48"/>
      <c r="C590" s="49"/>
      <c r="D590" s="10"/>
      <c r="E590" s="50"/>
      <c r="F590" s="50"/>
      <c r="G590" s="10"/>
    </row>
    <row r="591" spans="2:7" ht="28.5" customHeight="1" x14ac:dyDescent="0.45">
      <c r="B591" s="48"/>
      <c r="C591" s="49"/>
      <c r="D591" s="10"/>
      <c r="E591" s="50"/>
      <c r="F591" s="50"/>
      <c r="G591" s="10"/>
    </row>
    <row r="592" spans="2:7" ht="28.5" customHeight="1" x14ac:dyDescent="0.45">
      <c r="B592" s="48"/>
      <c r="C592" s="49"/>
      <c r="D592" s="10"/>
      <c r="E592" s="50"/>
      <c r="F592" s="50"/>
      <c r="G592" s="10"/>
    </row>
    <row r="593" spans="2:7" ht="28.5" customHeight="1" x14ac:dyDescent="0.45">
      <c r="B593" s="48"/>
      <c r="C593" s="49"/>
      <c r="D593" s="10"/>
      <c r="E593" s="50"/>
      <c r="F593" s="50"/>
      <c r="G593" s="10"/>
    </row>
    <row r="594" spans="2:7" ht="28.5" customHeight="1" x14ac:dyDescent="0.45">
      <c r="B594" s="48"/>
      <c r="C594" s="49"/>
      <c r="D594" s="10"/>
      <c r="E594" s="50"/>
      <c r="F594" s="50"/>
      <c r="G594" s="10"/>
    </row>
    <row r="595" spans="2:7" ht="28.5" customHeight="1" x14ac:dyDescent="0.45">
      <c r="B595" s="48"/>
      <c r="C595" s="49"/>
      <c r="D595" s="10"/>
      <c r="E595" s="50"/>
      <c r="F595" s="50"/>
      <c r="G595" s="10"/>
    </row>
    <row r="596" spans="2:7" ht="28.5" customHeight="1" x14ac:dyDescent="0.45">
      <c r="B596" s="48"/>
      <c r="C596" s="49"/>
      <c r="D596" s="10"/>
      <c r="E596" s="50"/>
      <c r="F596" s="50"/>
      <c r="G596" s="10"/>
    </row>
    <row r="597" spans="2:7" ht="28.5" customHeight="1" x14ac:dyDescent="0.45">
      <c r="B597" s="48"/>
      <c r="C597" s="49"/>
      <c r="D597" s="10"/>
      <c r="E597" s="50"/>
      <c r="F597" s="50"/>
      <c r="G597" s="10"/>
    </row>
    <row r="598" spans="2:7" ht="28.5" customHeight="1" x14ac:dyDescent="0.45">
      <c r="B598" s="48"/>
      <c r="C598" s="49"/>
      <c r="D598" s="10"/>
      <c r="E598" s="50"/>
      <c r="F598" s="50"/>
      <c r="G598" s="10"/>
    </row>
    <row r="599" spans="2:7" ht="28.5" customHeight="1" x14ac:dyDescent="0.45">
      <c r="B599" s="48"/>
      <c r="C599" s="49"/>
      <c r="D599" s="10"/>
      <c r="E599" s="50"/>
      <c r="F599" s="50"/>
      <c r="G599" s="10"/>
    </row>
    <row r="600" spans="2:7" ht="28.5" customHeight="1" x14ac:dyDescent="0.45">
      <c r="B600" s="48"/>
      <c r="C600" s="49"/>
      <c r="D600" s="10"/>
      <c r="E600" s="50"/>
      <c r="F600" s="50"/>
      <c r="G600" s="10"/>
    </row>
    <row r="601" spans="2:7" ht="28.5" customHeight="1" x14ac:dyDescent="0.45">
      <c r="B601" s="48"/>
      <c r="C601" s="49"/>
      <c r="D601" s="10"/>
      <c r="E601" s="50"/>
      <c r="F601" s="50"/>
      <c r="G601" s="10"/>
    </row>
    <row r="602" spans="2:7" ht="28.5" customHeight="1" x14ac:dyDescent="0.45">
      <c r="B602" s="48"/>
      <c r="C602" s="49"/>
      <c r="D602" s="10"/>
      <c r="E602" s="50"/>
      <c r="F602" s="50"/>
      <c r="G602" s="10"/>
    </row>
    <row r="603" spans="2:7" ht="28.5" customHeight="1" x14ac:dyDescent="0.45">
      <c r="B603" s="48"/>
      <c r="C603" s="49"/>
      <c r="D603" s="10"/>
      <c r="E603" s="50"/>
      <c r="F603" s="50"/>
      <c r="G603" s="10"/>
    </row>
    <row r="604" spans="2:7" ht="28.5" customHeight="1" x14ac:dyDescent="0.45">
      <c r="B604" s="48"/>
      <c r="C604" s="49"/>
      <c r="D604" s="10"/>
      <c r="E604" s="50"/>
      <c r="F604" s="50"/>
      <c r="G604" s="10"/>
    </row>
    <row r="605" spans="2:7" ht="28.5" customHeight="1" x14ac:dyDescent="0.45">
      <c r="B605" s="48"/>
      <c r="C605" s="49"/>
      <c r="D605" s="10"/>
      <c r="E605" s="50"/>
      <c r="F605" s="50"/>
      <c r="G605" s="10"/>
    </row>
    <row r="606" spans="2:7" ht="28.5" customHeight="1" x14ac:dyDescent="0.45">
      <c r="B606" s="48"/>
      <c r="C606" s="49"/>
      <c r="D606" s="10"/>
      <c r="E606" s="50"/>
      <c r="F606" s="50"/>
      <c r="G606" s="10"/>
    </row>
    <row r="607" spans="2:7" ht="28.5" customHeight="1" x14ac:dyDescent="0.45">
      <c r="B607" s="48"/>
      <c r="C607" s="49"/>
      <c r="D607" s="10"/>
      <c r="E607" s="50"/>
      <c r="F607" s="50"/>
      <c r="G607" s="10"/>
    </row>
    <row r="608" spans="2:7" ht="28.5" customHeight="1" x14ac:dyDescent="0.45">
      <c r="B608" s="48"/>
      <c r="C608" s="49"/>
      <c r="D608" s="10"/>
      <c r="E608" s="50"/>
      <c r="F608" s="50"/>
      <c r="G608" s="10"/>
    </row>
    <row r="609" spans="2:7" ht="28.5" customHeight="1" x14ac:dyDescent="0.45">
      <c r="B609" s="48"/>
      <c r="C609" s="49"/>
      <c r="D609" s="10"/>
      <c r="E609" s="50"/>
      <c r="F609" s="50"/>
      <c r="G609" s="10"/>
    </row>
    <row r="610" spans="2:7" ht="28.5" customHeight="1" x14ac:dyDescent="0.45">
      <c r="B610" s="48"/>
      <c r="C610" s="49"/>
      <c r="D610" s="10"/>
      <c r="E610" s="50"/>
      <c r="F610" s="50"/>
      <c r="G610" s="10"/>
    </row>
    <row r="611" spans="2:7" ht="28.5" customHeight="1" x14ac:dyDescent="0.45">
      <c r="B611" s="48"/>
      <c r="C611" s="49"/>
      <c r="D611" s="10"/>
      <c r="E611" s="50"/>
      <c r="F611" s="50"/>
      <c r="G611" s="10"/>
    </row>
    <row r="612" spans="2:7" ht="28.5" customHeight="1" x14ac:dyDescent="0.45">
      <c r="B612" s="48"/>
      <c r="C612" s="49"/>
      <c r="D612" s="10"/>
      <c r="E612" s="50"/>
      <c r="F612" s="50"/>
      <c r="G612" s="10"/>
    </row>
    <row r="613" spans="2:7" ht="28.5" customHeight="1" x14ac:dyDescent="0.45">
      <c r="B613" s="48"/>
      <c r="C613" s="49"/>
      <c r="D613" s="10"/>
      <c r="E613" s="50"/>
      <c r="F613" s="50"/>
      <c r="G613" s="10"/>
    </row>
    <row r="614" spans="2:7" ht="28.5" customHeight="1" x14ac:dyDescent="0.45">
      <c r="B614" s="48"/>
      <c r="C614" s="49"/>
      <c r="D614" s="10"/>
      <c r="E614" s="50"/>
      <c r="F614" s="50"/>
      <c r="G614" s="10"/>
    </row>
    <row r="615" spans="2:7" ht="28.5" customHeight="1" x14ac:dyDescent="0.45">
      <c r="B615" s="48"/>
      <c r="C615" s="49"/>
      <c r="D615" s="10"/>
      <c r="E615" s="50"/>
      <c r="F615" s="50"/>
      <c r="G615" s="10"/>
    </row>
    <row r="616" spans="2:7" ht="28.5" customHeight="1" x14ac:dyDescent="0.45">
      <c r="B616" s="48"/>
      <c r="C616" s="49"/>
      <c r="D616" s="10"/>
      <c r="E616" s="50"/>
      <c r="F616" s="50"/>
      <c r="G616" s="10"/>
    </row>
    <row r="617" spans="2:7" ht="28.5" customHeight="1" x14ac:dyDescent="0.45">
      <c r="B617" s="48"/>
      <c r="C617" s="49"/>
      <c r="D617" s="10"/>
      <c r="E617" s="50"/>
      <c r="F617" s="50"/>
      <c r="G617" s="10"/>
    </row>
    <row r="618" spans="2:7" ht="28.5" customHeight="1" x14ac:dyDescent="0.45">
      <c r="B618" s="48"/>
      <c r="C618" s="49"/>
      <c r="D618" s="10"/>
      <c r="E618" s="50"/>
      <c r="F618" s="50"/>
      <c r="G618" s="10"/>
    </row>
    <row r="619" spans="2:7" ht="28.5" customHeight="1" x14ac:dyDescent="0.45">
      <c r="B619" s="48"/>
      <c r="C619" s="49"/>
      <c r="D619" s="10"/>
      <c r="E619" s="50"/>
      <c r="F619" s="50"/>
      <c r="G619" s="10"/>
    </row>
    <row r="620" spans="2:7" ht="28.5" customHeight="1" x14ac:dyDescent="0.45">
      <c r="B620" s="48"/>
      <c r="C620" s="49"/>
      <c r="D620" s="10"/>
      <c r="E620" s="50"/>
      <c r="F620" s="50"/>
      <c r="G620" s="10"/>
    </row>
    <row r="621" spans="2:7" ht="28.5" customHeight="1" x14ac:dyDescent="0.45">
      <c r="B621" s="48"/>
      <c r="C621" s="49"/>
      <c r="D621" s="10"/>
      <c r="E621" s="50"/>
      <c r="F621" s="50"/>
      <c r="G621" s="10"/>
    </row>
    <row r="622" spans="2:7" ht="28.5" customHeight="1" x14ac:dyDescent="0.45">
      <c r="B622" s="48"/>
      <c r="C622" s="49"/>
      <c r="D622" s="10"/>
      <c r="E622" s="50"/>
      <c r="F622" s="50"/>
      <c r="G622" s="10"/>
    </row>
    <row r="623" spans="2:7" ht="28.5" customHeight="1" x14ac:dyDescent="0.45">
      <c r="B623" s="48"/>
      <c r="C623" s="49"/>
      <c r="D623" s="10"/>
      <c r="E623" s="50"/>
      <c r="F623" s="50"/>
      <c r="G623" s="10"/>
    </row>
    <row r="624" spans="2:7" ht="28.5" customHeight="1" x14ac:dyDescent="0.45">
      <c r="B624" s="48"/>
      <c r="C624" s="49"/>
      <c r="D624" s="10"/>
      <c r="E624" s="50"/>
      <c r="F624" s="50"/>
      <c r="G624" s="10"/>
    </row>
    <row r="625" spans="2:7" ht="28.5" customHeight="1" x14ac:dyDescent="0.45">
      <c r="B625" s="48"/>
      <c r="C625" s="49"/>
      <c r="D625" s="10"/>
      <c r="E625" s="50"/>
      <c r="F625" s="50"/>
      <c r="G625" s="10"/>
    </row>
    <row r="626" spans="2:7" ht="28.5" customHeight="1" x14ac:dyDescent="0.45">
      <c r="B626" s="48"/>
      <c r="C626" s="49"/>
      <c r="D626" s="10"/>
      <c r="E626" s="50"/>
      <c r="F626" s="50"/>
      <c r="G626" s="10"/>
    </row>
    <row r="627" spans="2:7" ht="28.5" customHeight="1" x14ac:dyDescent="0.45">
      <c r="B627" s="48"/>
      <c r="C627" s="49"/>
      <c r="D627" s="10"/>
      <c r="E627" s="50"/>
      <c r="F627" s="50"/>
      <c r="G627" s="10"/>
    </row>
    <row r="628" spans="2:7" ht="28.5" customHeight="1" x14ac:dyDescent="0.45">
      <c r="B628" s="48"/>
      <c r="C628" s="49"/>
      <c r="D628" s="10"/>
      <c r="E628" s="50"/>
      <c r="F628" s="50"/>
      <c r="G628" s="10"/>
    </row>
    <row r="629" spans="2:7" ht="28.5" customHeight="1" x14ac:dyDescent="0.45">
      <c r="B629" s="48"/>
      <c r="C629" s="49"/>
      <c r="D629" s="10"/>
      <c r="E629" s="50"/>
      <c r="F629" s="50"/>
      <c r="G629" s="10"/>
    </row>
    <row r="630" spans="2:7" ht="28.5" customHeight="1" x14ac:dyDescent="0.45">
      <c r="B630" s="48"/>
      <c r="C630" s="49"/>
      <c r="D630" s="10"/>
      <c r="E630" s="50"/>
      <c r="F630" s="50"/>
      <c r="G630" s="10"/>
    </row>
    <row r="631" spans="2:7" ht="28.5" customHeight="1" x14ac:dyDescent="0.45">
      <c r="B631" s="48"/>
      <c r="C631" s="49"/>
      <c r="D631" s="10"/>
      <c r="E631" s="50"/>
      <c r="F631" s="50"/>
      <c r="G631" s="10"/>
    </row>
    <row r="632" spans="2:7" ht="28.5" customHeight="1" x14ac:dyDescent="0.45">
      <c r="B632" s="48"/>
      <c r="C632" s="49"/>
      <c r="D632" s="10"/>
      <c r="E632" s="50"/>
      <c r="F632" s="50"/>
      <c r="G632" s="10"/>
    </row>
    <row r="633" spans="2:7" ht="28.5" customHeight="1" x14ac:dyDescent="0.45">
      <c r="B633" s="48"/>
      <c r="C633" s="49"/>
      <c r="D633" s="10"/>
      <c r="E633" s="50"/>
      <c r="F633" s="50"/>
      <c r="G633" s="10"/>
    </row>
    <row r="634" spans="2:7" ht="28.5" customHeight="1" x14ac:dyDescent="0.45">
      <c r="B634" s="48"/>
      <c r="C634" s="49"/>
      <c r="D634" s="10"/>
      <c r="E634" s="50"/>
      <c r="F634" s="50"/>
      <c r="G634" s="10"/>
    </row>
    <row r="635" spans="2:7" ht="28.5" customHeight="1" x14ac:dyDescent="0.45">
      <c r="B635" s="48"/>
      <c r="C635" s="49"/>
      <c r="D635" s="10"/>
      <c r="E635" s="50"/>
      <c r="F635" s="50"/>
      <c r="G635" s="10"/>
    </row>
    <row r="636" spans="2:7" ht="28.5" customHeight="1" x14ac:dyDescent="0.45">
      <c r="B636" s="48"/>
      <c r="C636" s="49"/>
      <c r="D636" s="10"/>
      <c r="E636" s="50"/>
      <c r="F636" s="50"/>
      <c r="G636" s="10"/>
    </row>
    <row r="637" spans="2:7" ht="28.5" customHeight="1" x14ac:dyDescent="0.45">
      <c r="B637" s="48"/>
      <c r="C637" s="49"/>
      <c r="D637" s="10"/>
      <c r="E637" s="50"/>
      <c r="F637" s="50"/>
      <c r="G637" s="10"/>
    </row>
    <row r="638" spans="2:7" ht="28.5" customHeight="1" x14ac:dyDescent="0.45">
      <c r="B638" s="48"/>
      <c r="C638" s="49"/>
      <c r="D638" s="10"/>
      <c r="E638" s="50"/>
      <c r="F638" s="50"/>
      <c r="G638" s="10"/>
    </row>
    <row r="639" spans="2:7" ht="28.5" customHeight="1" x14ac:dyDescent="0.45">
      <c r="B639" s="48"/>
      <c r="C639" s="49"/>
      <c r="D639" s="10"/>
      <c r="E639" s="50"/>
      <c r="F639" s="50"/>
      <c r="G639" s="10"/>
    </row>
    <row r="640" spans="2:7" ht="28.5" customHeight="1" x14ac:dyDescent="0.45">
      <c r="B640" s="48"/>
      <c r="C640" s="49"/>
      <c r="D640" s="10"/>
      <c r="E640" s="50"/>
      <c r="F640" s="50"/>
      <c r="G640" s="10"/>
    </row>
    <row r="641" spans="2:7" ht="28.5" customHeight="1" x14ac:dyDescent="0.45">
      <c r="B641" s="48"/>
      <c r="C641" s="49"/>
      <c r="D641" s="10"/>
      <c r="E641" s="50"/>
      <c r="F641" s="50"/>
      <c r="G641" s="10"/>
    </row>
    <row r="642" spans="2:7" ht="28.5" customHeight="1" x14ac:dyDescent="0.45">
      <c r="B642" s="48"/>
      <c r="C642" s="49"/>
      <c r="D642" s="10"/>
      <c r="E642" s="50"/>
      <c r="F642" s="50"/>
      <c r="G642" s="10"/>
    </row>
    <row r="643" spans="2:7" ht="28.5" customHeight="1" x14ac:dyDescent="0.45">
      <c r="B643" s="48"/>
      <c r="C643" s="49"/>
      <c r="D643" s="10"/>
      <c r="E643" s="50"/>
      <c r="F643" s="50"/>
      <c r="G643" s="10"/>
    </row>
    <row r="644" spans="2:7" ht="28.5" customHeight="1" x14ac:dyDescent="0.45">
      <c r="B644" s="48"/>
      <c r="C644" s="49"/>
      <c r="D644" s="10"/>
      <c r="E644" s="50"/>
      <c r="F644" s="50"/>
      <c r="G644" s="10"/>
    </row>
    <row r="645" spans="2:7" ht="28.5" customHeight="1" x14ac:dyDescent="0.45">
      <c r="B645" s="48"/>
      <c r="C645" s="49"/>
      <c r="D645" s="10"/>
      <c r="E645" s="50"/>
      <c r="F645" s="50"/>
      <c r="G645" s="10"/>
    </row>
    <row r="646" spans="2:7" ht="28.5" customHeight="1" x14ac:dyDescent="0.45">
      <c r="B646" s="48"/>
      <c r="C646" s="49"/>
      <c r="D646" s="10"/>
      <c r="E646" s="50"/>
      <c r="F646" s="50"/>
      <c r="G646" s="10"/>
    </row>
    <row r="647" spans="2:7" ht="28.5" customHeight="1" x14ac:dyDescent="0.45">
      <c r="B647" s="48"/>
      <c r="C647" s="49"/>
      <c r="D647" s="10"/>
      <c r="E647" s="50"/>
      <c r="F647" s="50"/>
      <c r="G647" s="10"/>
    </row>
    <row r="648" spans="2:7" ht="28.5" customHeight="1" x14ac:dyDescent="0.45">
      <c r="B648" s="48"/>
      <c r="C648" s="49"/>
      <c r="D648" s="10"/>
      <c r="E648" s="50"/>
      <c r="F648" s="50"/>
      <c r="G648" s="10"/>
    </row>
    <row r="649" spans="2:7" ht="28.5" customHeight="1" x14ac:dyDescent="0.45">
      <c r="B649" s="48"/>
      <c r="C649" s="49"/>
      <c r="D649" s="10"/>
      <c r="E649" s="50"/>
      <c r="F649" s="50"/>
      <c r="G649" s="10"/>
    </row>
    <row r="650" spans="2:7" ht="28.5" customHeight="1" x14ac:dyDescent="0.45">
      <c r="B650" s="48"/>
      <c r="C650" s="49"/>
      <c r="D650" s="10"/>
      <c r="E650" s="50"/>
      <c r="F650" s="50"/>
      <c r="G650" s="10"/>
    </row>
    <row r="651" spans="2:7" ht="28.5" customHeight="1" x14ac:dyDescent="0.45">
      <c r="B651" s="48"/>
      <c r="C651" s="49"/>
      <c r="D651" s="10"/>
      <c r="E651" s="50"/>
      <c r="F651" s="50"/>
      <c r="G651" s="10"/>
    </row>
    <row r="652" spans="2:7" ht="28.5" customHeight="1" x14ac:dyDescent="0.45">
      <c r="B652" s="48"/>
      <c r="C652" s="49"/>
      <c r="D652" s="10"/>
      <c r="E652" s="50"/>
      <c r="F652" s="50"/>
      <c r="G652" s="10"/>
    </row>
    <row r="653" spans="2:7" ht="28.5" customHeight="1" x14ac:dyDescent="0.45">
      <c r="B653" s="48"/>
      <c r="C653" s="49"/>
      <c r="D653" s="10"/>
      <c r="E653" s="50"/>
      <c r="F653" s="50"/>
      <c r="G653" s="10"/>
    </row>
    <row r="654" spans="2:7" ht="28.5" customHeight="1" x14ac:dyDescent="0.45">
      <c r="B654" s="48"/>
      <c r="C654" s="49"/>
      <c r="D654" s="10"/>
      <c r="E654" s="50"/>
      <c r="F654" s="50"/>
      <c r="G654" s="10"/>
    </row>
    <row r="655" spans="2:7" ht="28.5" customHeight="1" x14ac:dyDescent="0.45">
      <c r="B655" s="48"/>
      <c r="C655" s="49"/>
      <c r="D655" s="10"/>
      <c r="E655" s="50"/>
      <c r="F655" s="50"/>
      <c r="G655" s="10"/>
    </row>
    <row r="656" spans="2:7" ht="28.5" customHeight="1" x14ac:dyDescent="0.45">
      <c r="B656" s="48"/>
      <c r="C656" s="49"/>
      <c r="D656" s="10"/>
      <c r="E656" s="50"/>
      <c r="F656" s="50"/>
      <c r="G656" s="10"/>
    </row>
    <row r="657" spans="2:7" ht="28.5" customHeight="1" x14ac:dyDescent="0.45">
      <c r="B657" s="48"/>
      <c r="C657" s="49"/>
      <c r="D657" s="10"/>
      <c r="E657" s="50"/>
      <c r="F657" s="50"/>
      <c r="G657" s="10"/>
    </row>
    <row r="658" spans="2:7" ht="28.5" customHeight="1" x14ac:dyDescent="0.45">
      <c r="B658" s="48"/>
      <c r="C658" s="49"/>
      <c r="D658" s="10"/>
      <c r="E658" s="50"/>
      <c r="F658" s="50"/>
      <c r="G658" s="10"/>
    </row>
    <row r="659" spans="2:7" ht="28.5" customHeight="1" x14ac:dyDescent="0.45">
      <c r="B659" s="48"/>
      <c r="C659" s="49"/>
      <c r="D659" s="10"/>
      <c r="E659" s="50"/>
      <c r="F659" s="50"/>
      <c r="G659" s="10"/>
    </row>
    <row r="660" spans="2:7" ht="28.5" customHeight="1" x14ac:dyDescent="0.45">
      <c r="B660" s="48"/>
      <c r="C660" s="49"/>
      <c r="D660" s="10"/>
      <c r="E660" s="50"/>
      <c r="F660" s="50"/>
      <c r="G660" s="10"/>
    </row>
    <row r="661" spans="2:7" ht="28.5" customHeight="1" x14ac:dyDescent="0.45">
      <c r="B661" s="48"/>
      <c r="C661" s="49"/>
      <c r="D661" s="10"/>
      <c r="E661" s="50"/>
      <c r="F661" s="50"/>
      <c r="G661" s="10"/>
    </row>
    <row r="662" spans="2:7" ht="28.5" customHeight="1" x14ac:dyDescent="0.45">
      <c r="B662" s="48"/>
      <c r="C662" s="49"/>
      <c r="D662" s="10"/>
      <c r="E662" s="50"/>
      <c r="F662" s="50"/>
      <c r="G662" s="10"/>
    </row>
    <row r="663" spans="2:7" ht="28.5" customHeight="1" x14ac:dyDescent="0.45">
      <c r="B663" s="48"/>
      <c r="C663" s="49"/>
      <c r="D663" s="10"/>
      <c r="E663" s="50"/>
      <c r="F663" s="50"/>
      <c r="G663" s="10"/>
    </row>
    <row r="664" spans="2:7" ht="28.5" customHeight="1" x14ac:dyDescent="0.45">
      <c r="B664" s="48"/>
      <c r="C664" s="49"/>
      <c r="D664" s="10"/>
      <c r="E664" s="50"/>
      <c r="F664" s="50"/>
      <c r="G664" s="10"/>
    </row>
    <row r="665" spans="2:7" ht="28.5" customHeight="1" x14ac:dyDescent="0.45">
      <c r="B665" s="48"/>
      <c r="C665" s="49"/>
      <c r="D665" s="10"/>
      <c r="E665" s="50"/>
      <c r="F665" s="50"/>
      <c r="G665" s="10"/>
    </row>
    <row r="666" spans="2:7" ht="28.5" customHeight="1" x14ac:dyDescent="0.45">
      <c r="B666" s="48"/>
      <c r="C666" s="49"/>
      <c r="D666" s="10"/>
      <c r="E666" s="50"/>
      <c r="F666" s="50"/>
      <c r="G666" s="10"/>
    </row>
    <row r="667" spans="2:7" ht="28.5" customHeight="1" x14ac:dyDescent="0.45">
      <c r="B667" s="48"/>
      <c r="C667" s="49"/>
      <c r="D667" s="10"/>
      <c r="E667" s="50"/>
      <c r="F667" s="50"/>
      <c r="G667" s="10"/>
    </row>
    <row r="668" spans="2:7" ht="28.5" customHeight="1" x14ac:dyDescent="0.45">
      <c r="B668" s="48"/>
      <c r="C668" s="49"/>
      <c r="D668" s="10"/>
      <c r="E668" s="50"/>
      <c r="F668" s="50"/>
      <c r="G668" s="10"/>
    </row>
    <row r="669" spans="2:7" ht="28.5" customHeight="1" x14ac:dyDescent="0.45">
      <c r="B669" s="48"/>
      <c r="C669" s="49"/>
      <c r="D669" s="10"/>
      <c r="E669" s="50"/>
      <c r="F669" s="50"/>
      <c r="G669" s="10"/>
    </row>
    <row r="670" spans="2:7" ht="28.5" customHeight="1" x14ac:dyDescent="0.45">
      <c r="B670" s="48"/>
      <c r="C670" s="49"/>
      <c r="D670" s="10"/>
      <c r="E670" s="50"/>
      <c r="F670" s="50"/>
      <c r="G670" s="10"/>
    </row>
    <row r="671" spans="2:7" ht="28.5" customHeight="1" x14ac:dyDescent="0.45">
      <c r="B671" s="48"/>
      <c r="C671" s="49"/>
      <c r="D671" s="10"/>
      <c r="E671" s="50"/>
      <c r="F671" s="50"/>
      <c r="G671" s="10"/>
    </row>
    <row r="672" spans="2:7" ht="28.5" customHeight="1" x14ac:dyDescent="0.45">
      <c r="B672" s="48"/>
      <c r="C672" s="49"/>
      <c r="D672" s="10"/>
      <c r="E672" s="50"/>
      <c r="F672" s="50"/>
      <c r="G672" s="10"/>
    </row>
    <row r="673" spans="2:7" ht="28.5" customHeight="1" x14ac:dyDescent="0.45">
      <c r="B673" s="48"/>
      <c r="C673" s="49"/>
      <c r="D673" s="10"/>
      <c r="E673" s="50"/>
      <c r="F673" s="50"/>
      <c r="G673" s="10"/>
    </row>
    <row r="674" spans="2:7" ht="28.5" customHeight="1" x14ac:dyDescent="0.45">
      <c r="B674" s="48"/>
      <c r="C674" s="49"/>
      <c r="D674" s="10"/>
      <c r="E674" s="50"/>
      <c r="F674" s="50"/>
      <c r="G674" s="10"/>
    </row>
    <row r="675" spans="2:7" ht="28.5" customHeight="1" x14ac:dyDescent="0.45">
      <c r="B675" s="48"/>
      <c r="C675" s="49"/>
      <c r="D675" s="10"/>
      <c r="E675" s="50"/>
      <c r="F675" s="50"/>
      <c r="G675" s="10"/>
    </row>
    <row r="676" spans="2:7" ht="28.5" customHeight="1" x14ac:dyDescent="0.45">
      <c r="B676" s="48"/>
      <c r="C676" s="49"/>
      <c r="D676" s="10"/>
      <c r="E676" s="50"/>
      <c r="F676" s="50"/>
      <c r="G676" s="10"/>
    </row>
    <row r="677" spans="2:7" ht="28.5" customHeight="1" x14ac:dyDescent="0.45">
      <c r="B677" s="48"/>
      <c r="C677" s="49"/>
      <c r="D677" s="10"/>
      <c r="E677" s="50"/>
      <c r="F677" s="50"/>
      <c r="G677" s="10"/>
    </row>
    <row r="678" spans="2:7" ht="28.5" customHeight="1" x14ac:dyDescent="0.45">
      <c r="B678" s="48"/>
      <c r="C678" s="49"/>
      <c r="D678" s="10"/>
      <c r="E678" s="50"/>
      <c r="F678" s="50"/>
      <c r="G678" s="10"/>
    </row>
    <row r="679" spans="2:7" ht="28.5" customHeight="1" x14ac:dyDescent="0.45">
      <c r="B679" s="48"/>
      <c r="C679" s="49"/>
      <c r="D679" s="10"/>
      <c r="E679" s="50"/>
      <c r="F679" s="50"/>
      <c r="G679" s="10"/>
    </row>
    <row r="680" spans="2:7" ht="28.5" customHeight="1" x14ac:dyDescent="0.45">
      <c r="B680" s="48"/>
      <c r="C680" s="49"/>
      <c r="D680" s="10"/>
      <c r="E680" s="50"/>
      <c r="F680" s="50"/>
      <c r="G680" s="10"/>
    </row>
    <row r="681" spans="2:7" ht="28.5" customHeight="1" x14ac:dyDescent="0.45">
      <c r="B681" s="48"/>
      <c r="C681" s="49"/>
      <c r="D681" s="10"/>
      <c r="E681" s="50"/>
      <c r="F681" s="50"/>
      <c r="G681" s="10"/>
    </row>
    <row r="682" spans="2:7" ht="28.5" customHeight="1" x14ac:dyDescent="0.45">
      <c r="B682" s="48"/>
      <c r="C682" s="49"/>
      <c r="D682" s="10"/>
      <c r="E682" s="50"/>
      <c r="F682" s="50"/>
      <c r="G682" s="10"/>
    </row>
    <row r="683" spans="2:7" ht="28.5" customHeight="1" x14ac:dyDescent="0.45">
      <c r="B683" s="48"/>
      <c r="C683" s="49"/>
      <c r="D683" s="10"/>
      <c r="E683" s="50"/>
      <c r="F683" s="50"/>
      <c r="G683" s="10"/>
    </row>
    <row r="684" spans="2:7" ht="28.5" customHeight="1" x14ac:dyDescent="0.45">
      <c r="B684" s="48"/>
      <c r="C684" s="49"/>
      <c r="D684" s="10"/>
      <c r="E684" s="50"/>
      <c r="F684" s="50"/>
      <c r="G684" s="10"/>
    </row>
    <row r="685" spans="2:7" ht="28.5" customHeight="1" x14ac:dyDescent="0.45">
      <c r="B685" s="48"/>
      <c r="C685" s="49"/>
      <c r="D685" s="10"/>
      <c r="E685" s="50"/>
      <c r="F685" s="50"/>
      <c r="G685" s="10"/>
    </row>
    <row r="686" spans="2:7" ht="28.5" customHeight="1" x14ac:dyDescent="0.45">
      <c r="B686" s="48"/>
      <c r="C686" s="49"/>
      <c r="D686" s="10"/>
      <c r="E686" s="50"/>
      <c r="F686" s="50"/>
      <c r="G686" s="10"/>
    </row>
    <row r="687" spans="2:7" ht="28.5" customHeight="1" x14ac:dyDescent="0.45">
      <c r="B687" s="48"/>
      <c r="C687" s="49"/>
      <c r="D687" s="10"/>
      <c r="E687" s="50"/>
      <c r="F687" s="50"/>
      <c r="G687" s="10"/>
    </row>
    <row r="688" spans="2:7" ht="28.5" customHeight="1" x14ac:dyDescent="0.45">
      <c r="B688" s="48"/>
      <c r="C688" s="49"/>
      <c r="D688" s="10"/>
      <c r="E688" s="50"/>
      <c r="F688" s="50"/>
      <c r="G688" s="10"/>
    </row>
    <row r="689" spans="2:7" ht="28.5" customHeight="1" x14ac:dyDescent="0.45">
      <c r="B689" s="48"/>
      <c r="C689" s="49"/>
      <c r="D689" s="10"/>
      <c r="E689" s="50"/>
      <c r="F689" s="50"/>
      <c r="G689" s="10"/>
    </row>
    <row r="690" spans="2:7" ht="28.5" customHeight="1" x14ac:dyDescent="0.45">
      <c r="B690" s="48"/>
      <c r="C690" s="49"/>
      <c r="D690" s="10"/>
      <c r="E690" s="50"/>
      <c r="F690" s="50"/>
      <c r="G690" s="10"/>
    </row>
    <row r="691" spans="2:7" ht="28.5" customHeight="1" x14ac:dyDescent="0.45">
      <c r="B691" s="48"/>
      <c r="C691" s="49"/>
      <c r="D691" s="10"/>
      <c r="E691" s="50"/>
      <c r="F691" s="50"/>
      <c r="G691" s="10"/>
    </row>
    <row r="692" spans="2:7" ht="28.5" customHeight="1" x14ac:dyDescent="0.45">
      <c r="B692" s="48"/>
      <c r="C692" s="49"/>
      <c r="D692" s="10"/>
      <c r="E692" s="50"/>
      <c r="F692" s="50"/>
      <c r="G692" s="10"/>
    </row>
    <row r="693" spans="2:7" ht="28.5" customHeight="1" x14ac:dyDescent="0.45">
      <c r="B693" s="48"/>
      <c r="C693" s="49"/>
      <c r="D693" s="10"/>
      <c r="E693" s="50"/>
      <c r="F693" s="50"/>
      <c r="G693" s="10"/>
    </row>
    <row r="694" spans="2:7" ht="28.5" customHeight="1" x14ac:dyDescent="0.45">
      <c r="B694" s="48"/>
      <c r="C694" s="49"/>
      <c r="D694" s="10"/>
      <c r="E694" s="50"/>
      <c r="F694" s="50"/>
      <c r="G694" s="10"/>
    </row>
    <row r="695" spans="2:7" ht="28.5" customHeight="1" x14ac:dyDescent="0.45">
      <c r="B695" s="48"/>
      <c r="C695" s="49"/>
      <c r="D695" s="10"/>
      <c r="E695" s="50"/>
      <c r="F695" s="50"/>
      <c r="G695" s="10"/>
    </row>
    <row r="696" spans="2:7" ht="28.5" customHeight="1" x14ac:dyDescent="0.45">
      <c r="B696" s="48"/>
      <c r="C696" s="49"/>
      <c r="D696" s="10"/>
      <c r="E696" s="50"/>
      <c r="F696" s="50"/>
      <c r="G696" s="10"/>
    </row>
    <row r="697" spans="2:7" ht="28.5" customHeight="1" x14ac:dyDescent="0.45">
      <c r="B697" s="48"/>
      <c r="C697" s="49"/>
      <c r="D697" s="10"/>
      <c r="E697" s="50"/>
      <c r="F697" s="50"/>
      <c r="G697" s="10"/>
    </row>
    <row r="698" spans="2:7" ht="28.5" customHeight="1" x14ac:dyDescent="0.45">
      <c r="B698" s="48"/>
      <c r="C698" s="49"/>
      <c r="D698" s="10"/>
      <c r="E698" s="50"/>
      <c r="F698" s="50"/>
      <c r="G698" s="10"/>
    </row>
    <row r="699" spans="2:7" ht="28.5" customHeight="1" x14ac:dyDescent="0.45">
      <c r="B699" s="48"/>
      <c r="C699" s="49"/>
      <c r="D699" s="10"/>
      <c r="E699" s="50"/>
      <c r="F699" s="50"/>
      <c r="G699" s="10"/>
    </row>
    <row r="700" spans="2:7" ht="28.5" customHeight="1" x14ac:dyDescent="0.45">
      <c r="B700" s="48"/>
      <c r="C700" s="49"/>
      <c r="D700" s="10"/>
      <c r="E700" s="50"/>
      <c r="F700" s="50"/>
      <c r="G700" s="10"/>
    </row>
    <row r="701" spans="2:7" ht="28.5" customHeight="1" x14ac:dyDescent="0.45">
      <c r="B701" s="48"/>
      <c r="C701" s="49"/>
      <c r="D701" s="10"/>
      <c r="E701" s="50"/>
      <c r="F701" s="50"/>
      <c r="G701" s="10"/>
    </row>
    <row r="702" spans="2:7" ht="28.5" customHeight="1" x14ac:dyDescent="0.45">
      <c r="B702" s="48"/>
      <c r="C702" s="49"/>
      <c r="D702" s="10"/>
      <c r="E702" s="50"/>
      <c r="F702" s="50"/>
      <c r="G702" s="10"/>
    </row>
    <row r="703" spans="2:7" ht="28.5" customHeight="1" x14ac:dyDescent="0.45">
      <c r="B703" s="48"/>
      <c r="C703" s="49"/>
      <c r="D703" s="10"/>
      <c r="E703" s="50"/>
      <c r="F703" s="50"/>
      <c r="G703" s="10"/>
    </row>
    <row r="704" spans="2:7" ht="28.5" customHeight="1" x14ac:dyDescent="0.45">
      <c r="B704" s="48"/>
      <c r="C704" s="49"/>
      <c r="D704" s="10"/>
      <c r="E704" s="50"/>
      <c r="F704" s="50"/>
      <c r="G704" s="10"/>
    </row>
    <row r="705" spans="2:7" ht="28.5" customHeight="1" x14ac:dyDescent="0.45">
      <c r="B705" s="48"/>
      <c r="C705" s="49"/>
      <c r="D705" s="10"/>
      <c r="E705" s="50"/>
      <c r="F705" s="50"/>
      <c r="G705" s="10"/>
    </row>
    <row r="706" spans="2:7" ht="28.5" customHeight="1" x14ac:dyDescent="0.45">
      <c r="B706" s="48"/>
      <c r="C706" s="49"/>
      <c r="D706" s="10"/>
      <c r="E706" s="50"/>
      <c r="F706" s="50"/>
      <c r="G706" s="10"/>
    </row>
    <row r="707" spans="2:7" ht="28.5" customHeight="1" x14ac:dyDescent="0.45">
      <c r="B707" s="48"/>
      <c r="C707" s="49"/>
      <c r="D707" s="10"/>
      <c r="E707" s="50"/>
      <c r="F707" s="50"/>
      <c r="G707" s="10"/>
    </row>
    <row r="708" spans="2:7" ht="28.5" customHeight="1" x14ac:dyDescent="0.45">
      <c r="B708" s="48"/>
      <c r="C708" s="49"/>
      <c r="D708" s="10"/>
      <c r="E708" s="50"/>
      <c r="F708" s="50"/>
      <c r="G708" s="10"/>
    </row>
    <row r="709" spans="2:7" ht="28.5" customHeight="1" x14ac:dyDescent="0.45">
      <c r="B709" s="48"/>
      <c r="C709" s="49"/>
      <c r="D709" s="10"/>
      <c r="E709" s="50"/>
      <c r="F709" s="50"/>
      <c r="G709" s="10"/>
    </row>
    <row r="710" spans="2:7" ht="28.5" customHeight="1" x14ac:dyDescent="0.45">
      <c r="B710" s="48"/>
      <c r="C710" s="49"/>
      <c r="D710" s="10"/>
      <c r="E710" s="50"/>
      <c r="F710" s="50"/>
      <c r="G710" s="10"/>
    </row>
    <row r="711" spans="2:7" ht="28.5" customHeight="1" x14ac:dyDescent="0.45">
      <c r="B711" s="48"/>
      <c r="C711" s="49"/>
      <c r="D711" s="10"/>
      <c r="E711" s="50"/>
      <c r="F711" s="50"/>
      <c r="G711" s="10"/>
    </row>
    <row r="712" spans="2:7" ht="28.5" customHeight="1" x14ac:dyDescent="0.45">
      <c r="B712" s="48"/>
      <c r="C712" s="49"/>
      <c r="D712" s="10"/>
      <c r="E712" s="50"/>
      <c r="F712" s="50"/>
      <c r="G712" s="10"/>
    </row>
    <row r="713" spans="2:7" ht="28.5" customHeight="1" x14ac:dyDescent="0.45">
      <c r="B713" s="48"/>
      <c r="C713" s="49"/>
      <c r="D713" s="10"/>
      <c r="E713" s="50"/>
      <c r="F713" s="50"/>
      <c r="G713" s="10"/>
    </row>
    <row r="714" spans="2:7" ht="28.5" customHeight="1" x14ac:dyDescent="0.45">
      <c r="B714" s="48"/>
      <c r="C714" s="49"/>
      <c r="D714" s="10"/>
      <c r="E714" s="50"/>
      <c r="F714" s="50"/>
      <c r="G714" s="10"/>
    </row>
    <row r="715" spans="2:7" ht="28.5" customHeight="1" x14ac:dyDescent="0.45">
      <c r="B715" s="48"/>
      <c r="C715" s="49"/>
      <c r="D715" s="10"/>
      <c r="E715" s="50"/>
      <c r="F715" s="50"/>
      <c r="G715" s="10"/>
    </row>
    <row r="716" spans="2:7" ht="28.5" customHeight="1" x14ac:dyDescent="0.45">
      <c r="B716" s="48"/>
      <c r="C716" s="49"/>
      <c r="D716" s="10"/>
      <c r="E716" s="50"/>
      <c r="F716" s="50"/>
      <c r="G716" s="10"/>
    </row>
    <row r="717" spans="2:7" ht="28.5" customHeight="1" x14ac:dyDescent="0.45">
      <c r="B717" s="48"/>
      <c r="C717" s="49"/>
      <c r="D717" s="10"/>
      <c r="E717" s="50"/>
      <c r="F717" s="50"/>
      <c r="G717" s="10"/>
    </row>
    <row r="718" spans="2:7" ht="28.5" customHeight="1" x14ac:dyDescent="0.45">
      <c r="B718" s="48"/>
      <c r="C718" s="49"/>
      <c r="D718" s="10"/>
      <c r="E718" s="50"/>
      <c r="F718" s="50"/>
      <c r="G718" s="10"/>
    </row>
    <row r="719" spans="2:7" ht="28.5" customHeight="1" x14ac:dyDescent="0.45">
      <c r="B719" s="48"/>
      <c r="C719" s="49"/>
      <c r="D719" s="10"/>
      <c r="E719" s="50"/>
      <c r="F719" s="50"/>
      <c r="G719" s="10"/>
    </row>
    <row r="720" spans="2:7" ht="28.5" customHeight="1" x14ac:dyDescent="0.45">
      <c r="B720" s="48"/>
      <c r="C720" s="49"/>
      <c r="D720" s="10"/>
      <c r="E720" s="50"/>
      <c r="F720" s="50"/>
      <c r="G720" s="10"/>
    </row>
    <row r="721" spans="2:7" ht="28.5" customHeight="1" x14ac:dyDescent="0.45">
      <c r="B721" s="48"/>
      <c r="C721" s="49"/>
      <c r="D721" s="10"/>
      <c r="E721" s="50"/>
      <c r="F721" s="50"/>
      <c r="G721" s="10"/>
    </row>
    <row r="722" spans="2:7" ht="28.5" customHeight="1" x14ac:dyDescent="0.45">
      <c r="B722" s="48"/>
      <c r="C722" s="49"/>
      <c r="D722" s="10"/>
      <c r="E722" s="50"/>
      <c r="F722" s="50"/>
      <c r="G722" s="10"/>
    </row>
    <row r="723" spans="2:7" ht="28.5" customHeight="1" x14ac:dyDescent="0.45">
      <c r="B723" s="48"/>
      <c r="C723" s="49"/>
      <c r="D723" s="10"/>
      <c r="E723" s="50"/>
      <c r="F723" s="50"/>
      <c r="G723" s="10"/>
    </row>
    <row r="724" spans="2:7" ht="28.5" customHeight="1" x14ac:dyDescent="0.45">
      <c r="B724" s="48"/>
      <c r="C724" s="49"/>
      <c r="D724" s="10"/>
      <c r="E724" s="50"/>
      <c r="F724" s="50"/>
      <c r="G724" s="10"/>
    </row>
    <row r="725" spans="2:7" ht="28.5" customHeight="1" x14ac:dyDescent="0.45">
      <c r="B725" s="48"/>
      <c r="C725" s="49"/>
      <c r="D725" s="10"/>
      <c r="E725" s="50"/>
      <c r="F725" s="50"/>
      <c r="G725" s="10"/>
    </row>
    <row r="726" spans="2:7" ht="28.5" customHeight="1" x14ac:dyDescent="0.45">
      <c r="B726" s="48"/>
      <c r="C726" s="49"/>
      <c r="D726" s="10"/>
      <c r="E726" s="50"/>
      <c r="F726" s="50"/>
      <c r="G726" s="10"/>
    </row>
    <row r="727" spans="2:7" ht="28.5" customHeight="1" x14ac:dyDescent="0.45">
      <c r="B727" s="48"/>
      <c r="C727" s="49"/>
      <c r="D727" s="10"/>
      <c r="E727" s="50"/>
      <c r="F727" s="50"/>
      <c r="G727" s="10"/>
    </row>
    <row r="728" spans="2:7" ht="28.5" customHeight="1" x14ac:dyDescent="0.45">
      <c r="B728" s="48"/>
      <c r="C728" s="49"/>
      <c r="D728" s="10"/>
      <c r="E728" s="50"/>
      <c r="F728" s="50"/>
      <c r="G728" s="10"/>
    </row>
    <row r="729" spans="2:7" ht="28.5" customHeight="1" x14ac:dyDescent="0.45">
      <c r="B729" s="48"/>
      <c r="C729" s="49"/>
      <c r="D729" s="10"/>
      <c r="E729" s="50"/>
      <c r="F729" s="50"/>
      <c r="G729" s="10"/>
    </row>
    <row r="730" spans="2:7" ht="28.5" customHeight="1" x14ac:dyDescent="0.45">
      <c r="B730" s="48"/>
      <c r="C730" s="49"/>
      <c r="D730" s="10"/>
      <c r="E730" s="50"/>
      <c r="F730" s="50"/>
      <c r="G730" s="10"/>
    </row>
    <row r="731" spans="2:7" ht="28.5" customHeight="1" x14ac:dyDescent="0.45">
      <c r="B731" s="48"/>
      <c r="C731" s="49"/>
      <c r="D731" s="10"/>
      <c r="E731" s="50"/>
      <c r="F731" s="50"/>
      <c r="G731" s="10"/>
    </row>
    <row r="732" spans="2:7" ht="28.5" customHeight="1" x14ac:dyDescent="0.45">
      <c r="B732" s="48"/>
      <c r="C732" s="49"/>
      <c r="D732" s="10"/>
      <c r="E732" s="50"/>
      <c r="F732" s="50"/>
      <c r="G732" s="10"/>
    </row>
    <row r="733" spans="2:7" ht="28.5" customHeight="1" x14ac:dyDescent="0.45">
      <c r="B733" s="48"/>
      <c r="C733" s="49"/>
      <c r="D733" s="10"/>
      <c r="E733" s="50"/>
      <c r="F733" s="50"/>
      <c r="G733" s="10"/>
    </row>
    <row r="734" spans="2:7" ht="28.5" customHeight="1" x14ac:dyDescent="0.45">
      <c r="B734" s="48"/>
      <c r="C734" s="49"/>
      <c r="D734" s="10"/>
      <c r="E734" s="50"/>
      <c r="F734" s="50"/>
      <c r="G734" s="10"/>
    </row>
    <row r="735" spans="2:7" ht="28.5" customHeight="1" x14ac:dyDescent="0.45">
      <c r="B735" s="48"/>
      <c r="C735" s="49"/>
      <c r="D735" s="10"/>
      <c r="E735" s="50"/>
      <c r="F735" s="50"/>
      <c r="G735" s="10"/>
    </row>
    <row r="736" spans="2:7" ht="28.5" customHeight="1" x14ac:dyDescent="0.45">
      <c r="B736" s="48"/>
      <c r="C736" s="49"/>
      <c r="D736" s="10"/>
      <c r="E736" s="50"/>
      <c r="F736" s="50"/>
      <c r="G736" s="10"/>
    </row>
    <row r="737" spans="2:7" ht="28.5" customHeight="1" x14ac:dyDescent="0.45">
      <c r="B737" s="48"/>
      <c r="C737" s="49"/>
      <c r="D737" s="10"/>
      <c r="E737" s="50"/>
      <c r="F737" s="50"/>
      <c r="G737" s="10"/>
    </row>
    <row r="738" spans="2:7" ht="28.5" customHeight="1" x14ac:dyDescent="0.45">
      <c r="B738" s="48"/>
      <c r="C738" s="49"/>
      <c r="D738" s="10"/>
      <c r="E738" s="50"/>
      <c r="F738" s="50"/>
      <c r="G738" s="10"/>
    </row>
    <row r="739" spans="2:7" ht="28.5" customHeight="1" x14ac:dyDescent="0.45">
      <c r="B739" s="48"/>
      <c r="C739" s="49"/>
      <c r="D739" s="10"/>
      <c r="E739" s="50"/>
      <c r="F739" s="50"/>
      <c r="G739" s="10"/>
    </row>
    <row r="740" spans="2:7" ht="28.5" customHeight="1" x14ac:dyDescent="0.45">
      <c r="B740" s="48"/>
      <c r="C740" s="49"/>
      <c r="D740" s="10"/>
      <c r="E740" s="50"/>
      <c r="F740" s="50"/>
      <c r="G740" s="10"/>
    </row>
    <row r="741" spans="2:7" ht="28.5" customHeight="1" x14ac:dyDescent="0.45">
      <c r="B741" s="48"/>
      <c r="C741" s="49"/>
      <c r="D741" s="10"/>
      <c r="E741" s="50"/>
      <c r="F741" s="50"/>
      <c r="G741" s="10"/>
    </row>
    <row r="742" spans="2:7" ht="28.5" customHeight="1" x14ac:dyDescent="0.45">
      <c r="B742" s="48"/>
      <c r="C742" s="49"/>
      <c r="D742" s="10"/>
      <c r="E742" s="50"/>
      <c r="F742" s="50"/>
      <c r="G742" s="10"/>
    </row>
    <row r="743" spans="2:7" ht="28.5" customHeight="1" x14ac:dyDescent="0.45">
      <c r="B743" s="48"/>
      <c r="C743" s="49"/>
      <c r="D743" s="10"/>
      <c r="E743" s="50"/>
      <c r="F743" s="50"/>
      <c r="G743" s="10"/>
    </row>
    <row r="744" spans="2:7" ht="28.5" customHeight="1" x14ac:dyDescent="0.45">
      <c r="B744" s="48"/>
      <c r="C744" s="49"/>
      <c r="D744" s="10"/>
      <c r="E744" s="50"/>
      <c r="F744" s="50"/>
      <c r="G744" s="10"/>
    </row>
    <row r="745" spans="2:7" ht="28.5" customHeight="1" x14ac:dyDescent="0.45">
      <c r="B745" s="48"/>
      <c r="C745" s="49"/>
      <c r="D745" s="10"/>
      <c r="E745" s="50"/>
      <c r="F745" s="50"/>
      <c r="G745" s="10"/>
    </row>
    <row r="746" spans="2:7" ht="28.5" customHeight="1" x14ac:dyDescent="0.45">
      <c r="B746" s="48"/>
      <c r="C746" s="49"/>
      <c r="D746" s="10"/>
      <c r="E746" s="50"/>
      <c r="F746" s="50"/>
      <c r="G746" s="10"/>
    </row>
    <row r="747" spans="2:7" ht="28.5" customHeight="1" x14ac:dyDescent="0.45">
      <c r="B747" s="48"/>
      <c r="C747" s="49"/>
      <c r="D747" s="10"/>
      <c r="E747" s="50"/>
      <c r="F747" s="50"/>
      <c r="G747" s="10"/>
    </row>
    <row r="748" spans="2:7" ht="28.5" customHeight="1" x14ac:dyDescent="0.45">
      <c r="B748" s="48"/>
      <c r="C748" s="49"/>
      <c r="D748" s="10"/>
      <c r="E748" s="50"/>
      <c r="F748" s="50"/>
      <c r="G748" s="10"/>
    </row>
    <row r="749" spans="2:7" ht="28.5" customHeight="1" x14ac:dyDescent="0.45">
      <c r="B749" s="48"/>
      <c r="C749" s="49"/>
      <c r="D749" s="10"/>
      <c r="E749" s="50"/>
      <c r="F749" s="50"/>
      <c r="G749" s="10"/>
    </row>
    <row r="750" spans="2:7" ht="28.5" customHeight="1" x14ac:dyDescent="0.45">
      <c r="B750" s="48"/>
      <c r="C750" s="49"/>
      <c r="D750" s="10"/>
      <c r="E750" s="50"/>
      <c r="F750" s="50"/>
      <c r="G750" s="10"/>
    </row>
    <row r="751" spans="2:7" ht="28.5" customHeight="1" x14ac:dyDescent="0.45">
      <c r="B751" s="48"/>
      <c r="C751" s="49"/>
      <c r="D751" s="10"/>
      <c r="E751" s="50"/>
      <c r="F751" s="50"/>
      <c r="G751" s="10"/>
    </row>
    <row r="752" spans="2:7" ht="28.5" customHeight="1" x14ac:dyDescent="0.45">
      <c r="B752" s="48"/>
      <c r="C752" s="49"/>
      <c r="D752" s="10"/>
      <c r="E752" s="50"/>
      <c r="F752" s="50"/>
      <c r="G752" s="10"/>
    </row>
    <row r="753" spans="2:7" ht="28.5" customHeight="1" x14ac:dyDescent="0.45">
      <c r="B753" s="48"/>
      <c r="C753" s="49"/>
      <c r="D753" s="10"/>
      <c r="E753" s="50"/>
      <c r="F753" s="50"/>
      <c r="G753" s="10"/>
    </row>
    <row r="754" spans="2:7" ht="28.5" customHeight="1" x14ac:dyDescent="0.45">
      <c r="B754" s="48"/>
      <c r="C754" s="49"/>
      <c r="D754" s="10"/>
      <c r="E754" s="50"/>
      <c r="F754" s="50"/>
      <c r="G754" s="10"/>
    </row>
    <row r="755" spans="2:7" ht="28.5" customHeight="1" x14ac:dyDescent="0.45">
      <c r="B755" s="48"/>
      <c r="C755" s="49"/>
      <c r="D755" s="10"/>
      <c r="E755" s="50"/>
      <c r="F755" s="50"/>
      <c r="G755" s="10"/>
    </row>
    <row r="756" spans="2:7" ht="28.5" customHeight="1" x14ac:dyDescent="0.45">
      <c r="B756" s="48"/>
      <c r="C756" s="49"/>
      <c r="D756" s="10"/>
      <c r="E756" s="50"/>
      <c r="F756" s="50"/>
      <c r="G756" s="10"/>
    </row>
    <row r="757" spans="2:7" ht="28.5" customHeight="1" x14ac:dyDescent="0.45">
      <c r="B757" s="48"/>
      <c r="C757" s="49"/>
      <c r="D757" s="10"/>
      <c r="E757" s="50"/>
      <c r="F757" s="50"/>
      <c r="G757" s="10"/>
    </row>
    <row r="758" spans="2:7" ht="28.5" customHeight="1" x14ac:dyDescent="0.45">
      <c r="B758" s="48"/>
      <c r="C758" s="49"/>
      <c r="D758" s="10"/>
      <c r="E758" s="50"/>
      <c r="F758" s="50"/>
      <c r="G758" s="10"/>
    </row>
    <row r="759" spans="2:7" ht="28.5" customHeight="1" x14ac:dyDescent="0.45">
      <c r="B759" s="48"/>
      <c r="C759" s="49"/>
      <c r="D759" s="10"/>
      <c r="E759" s="50"/>
      <c r="F759" s="50"/>
      <c r="G759" s="10"/>
    </row>
    <row r="760" spans="2:7" ht="28.5" customHeight="1" x14ac:dyDescent="0.45">
      <c r="B760" s="48"/>
      <c r="C760" s="49"/>
      <c r="D760" s="10"/>
      <c r="E760" s="50"/>
      <c r="F760" s="50"/>
      <c r="G760" s="10"/>
    </row>
    <row r="761" spans="2:7" ht="28.5" customHeight="1" x14ac:dyDescent="0.45">
      <c r="B761" s="48"/>
      <c r="C761" s="49"/>
      <c r="D761" s="10"/>
      <c r="E761" s="50"/>
      <c r="F761" s="50"/>
      <c r="G761" s="10"/>
    </row>
    <row r="762" spans="2:7" ht="28.5" customHeight="1" x14ac:dyDescent="0.45">
      <c r="B762" s="48"/>
      <c r="C762" s="49"/>
      <c r="D762" s="10"/>
      <c r="E762" s="50"/>
      <c r="F762" s="50"/>
      <c r="G762" s="10"/>
    </row>
    <row r="763" spans="2:7" ht="28.5" customHeight="1" x14ac:dyDescent="0.45">
      <c r="B763" s="48"/>
      <c r="C763" s="49"/>
      <c r="D763" s="10"/>
      <c r="E763" s="50"/>
      <c r="F763" s="50"/>
      <c r="G763" s="10"/>
    </row>
    <row r="764" spans="2:7" ht="28.5" customHeight="1" x14ac:dyDescent="0.45">
      <c r="B764" s="48"/>
      <c r="C764" s="49"/>
      <c r="D764" s="10"/>
      <c r="E764" s="50"/>
      <c r="F764" s="50"/>
      <c r="G764" s="10"/>
    </row>
    <row r="765" spans="2:7" ht="28.5" customHeight="1" x14ac:dyDescent="0.45">
      <c r="B765" s="48"/>
      <c r="C765" s="49"/>
      <c r="D765" s="10"/>
      <c r="E765" s="50"/>
      <c r="F765" s="50"/>
      <c r="G765" s="10"/>
    </row>
    <row r="766" spans="2:7" ht="28.5" customHeight="1" x14ac:dyDescent="0.45">
      <c r="B766" s="48"/>
      <c r="C766" s="49"/>
      <c r="D766" s="10"/>
      <c r="E766" s="50"/>
      <c r="F766" s="50"/>
      <c r="G766" s="10"/>
    </row>
    <row r="767" spans="2:7" ht="28.5" customHeight="1" x14ac:dyDescent="0.45">
      <c r="B767" s="48"/>
      <c r="C767" s="49"/>
      <c r="D767" s="10"/>
      <c r="E767" s="50"/>
      <c r="F767" s="50"/>
      <c r="G767" s="10"/>
    </row>
    <row r="768" spans="2:7" ht="28.5" customHeight="1" x14ac:dyDescent="0.45">
      <c r="B768" s="48"/>
      <c r="C768" s="49"/>
      <c r="D768" s="10"/>
      <c r="E768" s="50"/>
      <c r="F768" s="50"/>
      <c r="G768" s="10"/>
    </row>
    <row r="769" spans="2:7" ht="28.5" customHeight="1" x14ac:dyDescent="0.45">
      <c r="B769" s="48"/>
      <c r="C769" s="49"/>
      <c r="D769" s="10"/>
      <c r="E769" s="50"/>
      <c r="F769" s="50"/>
      <c r="G769" s="10"/>
    </row>
    <row r="770" spans="2:7" ht="28.5" customHeight="1" x14ac:dyDescent="0.45">
      <c r="B770" s="48"/>
      <c r="C770" s="49"/>
      <c r="D770" s="10"/>
      <c r="E770" s="50"/>
      <c r="F770" s="50"/>
      <c r="G770" s="10"/>
    </row>
    <row r="771" spans="2:7" ht="28.5" customHeight="1" x14ac:dyDescent="0.45">
      <c r="B771" s="48"/>
      <c r="C771" s="49"/>
      <c r="D771" s="10"/>
      <c r="E771" s="50"/>
      <c r="F771" s="50"/>
      <c r="G771" s="10"/>
    </row>
    <row r="772" spans="2:7" ht="28.5" customHeight="1" x14ac:dyDescent="0.45">
      <c r="B772" s="48"/>
      <c r="C772" s="49"/>
      <c r="D772" s="10"/>
      <c r="E772" s="50"/>
      <c r="F772" s="50"/>
      <c r="G772" s="10"/>
    </row>
    <row r="773" spans="2:7" ht="28.5" customHeight="1" x14ac:dyDescent="0.45">
      <c r="B773" s="48"/>
      <c r="C773" s="49"/>
      <c r="D773" s="10"/>
      <c r="E773" s="50"/>
      <c r="F773" s="50"/>
      <c r="G773" s="10"/>
    </row>
    <row r="774" spans="2:7" ht="28.5" customHeight="1" x14ac:dyDescent="0.45">
      <c r="B774" s="48"/>
      <c r="C774" s="49"/>
      <c r="D774" s="10"/>
      <c r="E774" s="50"/>
      <c r="F774" s="50"/>
      <c r="G774" s="10"/>
    </row>
    <row r="775" spans="2:7" ht="28.5" customHeight="1" x14ac:dyDescent="0.45">
      <c r="B775" s="48"/>
      <c r="C775" s="49"/>
      <c r="D775" s="10"/>
      <c r="E775" s="50"/>
      <c r="F775" s="50"/>
      <c r="G775" s="10"/>
    </row>
    <row r="776" spans="2:7" ht="28.5" customHeight="1" x14ac:dyDescent="0.45">
      <c r="B776" s="48"/>
      <c r="C776" s="49"/>
      <c r="D776" s="10"/>
      <c r="E776" s="50"/>
      <c r="F776" s="50"/>
      <c r="G776" s="10"/>
    </row>
    <row r="777" spans="2:7" ht="28.5" customHeight="1" x14ac:dyDescent="0.45">
      <c r="B777" s="48"/>
      <c r="C777" s="49"/>
      <c r="D777" s="10"/>
      <c r="E777" s="50"/>
      <c r="F777" s="50"/>
      <c r="G777" s="10"/>
    </row>
    <row r="778" spans="2:7" ht="28.5" customHeight="1" x14ac:dyDescent="0.45">
      <c r="B778" s="48"/>
      <c r="C778" s="49"/>
      <c r="D778" s="10"/>
      <c r="E778" s="50"/>
      <c r="F778" s="50"/>
      <c r="G778" s="10"/>
    </row>
    <row r="779" spans="2:7" ht="28.5" customHeight="1" x14ac:dyDescent="0.45">
      <c r="B779" s="48"/>
      <c r="C779" s="49"/>
      <c r="D779" s="10"/>
      <c r="E779" s="50"/>
      <c r="F779" s="50"/>
      <c r="G779" s="10"/>
    </row>
    <row r="780" spans="2:7" ht="28.5" customHeight="1" x14ac:dyDescent="0.45">
      <c r="B780" s="48"/>
      <c r="C780" s="49"/>
      <c r="D780" s="10"/>
      <c r="E780" s="50"/>
      <c r="F780" s="50"/>
      <c r="G780" s="10"/>
    </row>
    <row r="781" spans="2:7" ht="28.5" customHeight="1" x14ac:dyDescent="0.45">
      <c r="B781" s="48"/>
      <c r="C781" s="49"/>
      <c r="D781" s="10"/>
      <c r="E781" s="50"/>
      <c r="F781" s="50"/>
      <c r="G781" s="10"/>
    </row>
    <row r="782" spans="2:7" ht="28.5" customHeight="1" x14ac:dyDescent="0.45">
      <c r="B782" s="48"/>
      <c r="C782" s="49"/>
      <c r="D782" s="10"/>
      <c r="E782" s="50"/>
      <c r="F782" s="50"/>
      <c r="G782" s="10"/>
    </row>
    <row r="783" spans="2:7" ht="28.5" customHeight="1" x14ac:dyDescent="0.45">
      <c r="B783" s="48"/>
      <c r="C783" s="49"/>
      <c r="D783" s="10"/>
      <c r="E783" s="50"/>
      <c r="F783" s="50"/>
      <c r="G783" s="10"/>
    </row>
    <row r="784" spans="2:7" ht="28.5" customHeight="1" x14ac:dyDescent="0.45">
      <c r="B784" s="48"/>
      <c r="C784" s="49"/>
      <c r="D784" s="10"/>
      <c r="E784" s="50"/>
      <c r="F784" s="50"/>
      <c r="G784" s="10"/>
    </row>
    <row r="785" spans="2:7" ht="28.5" customHeight="1" x14ac:dyDescent="0.45">
      <c r="B785" s="48"/>
      <c r="C785" s="49"/>
      <c r="D785" s="10"/>
      <c r="E785" s="50"/>
      <c r="F785" s="50"/>
      <c r="G785" s="10"/>
    </row>
    <row r="786" spans="2:7" ht="28.5" customHeight="1" x14ac:dyDescent="0.45">
      <c r="B786" s="48"/>
      <c r="C786" s="49"/>
      <c r="D786" s="10"/>
      <c r="E786" s="50"/>
      <c r="F786" s="50"/>
      <c r="G786" s="10"/>
    </row>
    <row r="787" spans="2:7" ht="28.5" customHeight="1" x14ac:dyDescent="0.45">
      <c r="B787" s="48"/>
      <c r="C787" s="49"/>
      <c r="D787" s="10"/>
      <c r="E787" s="50"/>
      <c r="F787" s="50"/>
      <c r="G787" s="10"/>
    </row>
    <row r="788" spans="2:7" ht="28.5" customHeight="1" x14ac:dyDescent="0.45">
      <c r="B788" s="48"/>
      <c r="C788" s="49"/>
      <c r="D788" s="10"/>
      <c r="E788" s="50"/>
      <c r="F788" s="50"/>
      <c r="G788" s="10"/>
    </row>
    <row r="789" spans="2:7" ht="28.5" customHeight="1" x14ac:dyDescent="0.45">
      <c r="B789" s="48"/>
      <c r="C789" s="49"/>
      <c r="D789" s="10"/>
      <c r="E789" s="50"/>
      <c r="F789" s="50"/>
      <c r="G789" s="10"/>
    </row>
    <row r="790" spans="2:7" ht="28.5" customHeight="1" x14ac:dyDescent="0.45">
      <c r="B790" s="48"/>
      <c r="C790" s="49"/>
      <c r="D790" s="10"/>
      <c r="E790" s="50"/>
      <c r="F790" s="50"/>
      <c r="G790" s="10"/>
    </row>
    <row r="791" spans="2:7" ht="28.5" customHeight="1" x14ac:dyDescent="0.45">
      <c r="B791" s="48"/>
      <c r="C791" s="49"/>
      <c r="D791" s="10"/>
      <c r="E791" s="50"/>
      <c r="F791" s="50"/>
      <c r="G791" s="10"/>
    </row>
    <row r="792" spans="2:7" ht="28.5" customHeight="1" x14ac:dyDescent="0.45">
      <c r="B792" s="48"/>
      <c r="C792" s="49"/>
      <c r="D792" s="10"/>
      <c r="E792" s="50"/>
      <c r="F792" s="50"/>
      <c r="G792" s="10"/>
    </row>
    <row r="793" spans="2:7" ht="28.5" customHeight="1" x14ac:dyDescent="0.45">
      <c r="B793" s="48"/>
      <c r="C793" s="49"/>
      <c r="D793" s="10"/>
      <c r="E793" s="50"/>
      <c r="F793" s="50"/>
      <c r="G793" s="10"/>
    </row>
    <row r="794" spans="2:7" ht="28.5" customHeight="1" x14ac:dyDescent="0.45">
      <c r="B794" s="48"/>
      <c r="C794" s="49"/>
      <c r="D794" s="10"/>
      <c r="E794" s="50"/>
      <c r="F794" s="50"/>
      <c r="G794" s="10"/>
    </row>
    <row r="795" spans="2:7" ht="28.5" customHeight="1" x14ac:dyDescent="0.45">
      <c r="B795" s="48"/>
      <c r="C795" s="49"/>
      <c r="D795" s="10"/>
      <c r="E795" s="50"/>
      <c r="F795" s="50"/>
      <c r="G795" s="10"/>
    </row>
    <row r="796" spans="2:7" ht="28.5" customHeight="1" x14ac:dyDescent="0.45">
      <c r="B796" s="48"/>
      <c r="C796" s="49"/>
      <c r="D796" s="10"/>
      <c r="E796" s="50"/>
      <c r="F796" s="50"/>
      <c r="G796" s="10"/>
    </row>
    <row r="797" spans="2:7" ht="28.5" customHeight="1" x14ac:dyDescent="0.45">
      <c r="B797" s="48"/>
      <c r="C797" s="49"/>
      <c r="D797" s="10"/>
      <c r="E797" s="50"/>
      <c r="F797" s="50"/>
      <c r="G797" s="10"/>
    </row>
    <row r="798" spans="2:7" ht="28.5" customHeight="1" x14ac:dyDescent="0.45">
      <c r="B798" s="48"/>
      <c r="C798" s="49"/>
      <c r="D798" s="10"/>
      <c r="E798" s="50"/>
      <c r="F798" s="50"/>
      <c r="G798" s="10"/>
    </row>
    <row r="799" spans="2:7" ht="28.5" customHeight="1" x14ac:dyDescent="0.45">
      <c r="B799" s="48"/>
      <c r="C799" s="49"/>
      <c r="D799" s="10"/>
      <c r="E799" s="50"/>
      <c r="F799" s="50"/>
      <c r="G799" s="10"/>
    </row>
    <row r="800" spans="2:7" ht="28.5" customHeight="1" x14ac:dyDescent="0.45">
      <c r="B800" s="48"/>
      <c r="C800" s="49"/>
      <c r="D800" s="10"/>
      <c r="E800" s="50"/>
      <c r="F800" s="50"/>
      <c r="G800" s="10"/>
    </row>
    <row r="801" spans="2:7" ht="28.5" customHeight="1" x14ac:dyDescent="0.45">
      <c r="B801" s="48"/>
      <c r="C801" s="49"/>
      <c r="D801" s="10"/>
      <c r="E801" s="50"/>
      <c r="F801" s="50"/>
      <c r="G801" s="10"/>
    </row>
    <row r="802" spans="2:7" ht="28.5" customHeight="1" x14ac:dyDescent="0.45">
      <c r="B802" s="48"/>
      <c r="C802" s="49"/>
      <c r="D802" s="10"/>
      <c r="E802" s="50"/>
      <c r="F802" s="50"/>
      <c r="G802" s="10"/>
    </row>
    <row r="803" spans="2:7" ht="28.5" customHeight="1" x14ac:dyDescent="0.45">
      <c r="B803" s="48"/>
      <c r="C803" s="49"/>
      <c r="D803" s="10"/>
      <c r="E803" s="50"/>
      <c r="F803" s="50"/>
      <c r="G803" s="10"/>
    </row>
    <row r="804" spans="2:7" ht="28.5" customHeight="1" x14ac:dyDescent="0.45">
      <c r="B804" s="48"/>
      <c r="C804" s="49"/>
      <c r="D804" s="10"/>
      <c r="E804" s="50"/>
      <c r="F804" s="50"/>
      <c r="G804" s="10"/>
    </row>
    <row r="805" spans="2:7" ht="28.5" customHeight="1" x14ac:dyDescent="0.45">
      <c r="B805" s="48"/>
      <c r="C805" s="49"/>
      <c r="D805" s="10"/>
      <c r="E805" s="50"/>
      <c r="F805" s="50"/>
      <c r="G805" s="10"/>
    </row>
    <row r="806" spans="2:7" ht="28.5" customHeight="1" x14ac:dyDescent="0.45">
      <c r="B806" s="48"/>
      <c r="C806" s="49"/>
      <c r="D806" s="10"/>
      <c r="E806" s="50"/>
      <c r="F806" s="50"/>
      <c r="G806" s="10"/>
    </row>
    <row r="807" spans="2:7" ht="28.5" customHeight="1" x14ac:dyDescent="0.45">
      <c r="B807" s="48"/>
      <c r="C807" s="49"/>
      <c r="D807" s="10"/>
      <c r="E807" s="50"/>
      <c r="F807" s="50"/>
      <c r="G807" s="10"/>
    </row>
    <row r="808" spans="2:7" ht="28.5" customHeight="1" x14ac:dyDescent="0.45">
      <c r="B808" s="48"/>
      <c r="C808" s="49"/>
      <c r="D808" s="10"/>
      <c r="E808" s="50"/>
      <c r="F808" s="50"/>
      <c r="G808" s="10"/>
    </row>
    <row r="809" spans="2:7" ht="28.5" customHeight="1" x14ac:dyDescent="0.45">
      <c r="B809" s="48"/>
      <c r="C809" s="49"/>
      <c r="D809" s="10"/>
      <c r="E809" s="50"/>
      <c r="F809" s="50"/>
      <c r="G809" s="10"/>
    </row>
    <row r="810" spans="2:7" ht="28.5" customHeight="1" x14ac:dyDescent="0.45">
      <c r="B810" s="48"/>
      <c r="C810" s="49"/>
      <c r="D810" s="10"/>
      <c r="E810" s="50"/>
      <c r="F810" s="50"/>
      <c r="G810" s="10"/>
    </row>
    <row r="811" spans="2:7" ht="28.5" customHeight="1" x14ac:dyDescent="0.45">
      <c r="B811" s="48"/>
      <c r="C811" s="49"/>
      <c r="D811" s="10"/>
      <c r="E811" s="50"/>
      <c r="F811" s="50"/>
      <c r="G811" s="10"/>
    </row>
    <row r="812" spans="2:7" ht="28.5" customHeight="1" x14ac:dyDescent="0.45">
      <c r="B812" s="48"/>
      <c r="C812" s="49"/>
      <c r="D812" s="10"/>
      <c r="E812" s="50"/>
      <c r="F812" s="50"/>
      <c r="G812" s="10"/>
    </row>
    <row r="813" spans="2:7" ht="28.5" customHeight="1" x14ac:dyDescent="0.45">
      <c r="B813" s="48"/>
      <c r="C813" s="49"/>
      <c r="D813" s="10"/>
      <c r="E813" s="50"/>
      <c r="F813" s="50"/>
      <c r="G813" s="10"/>
    </row>
    <row r="814" spans="2:7" ht="28.5" customHeight="1" x14ac:dyDescent="0.45">
      <c r="B814" s="48"/>
      <c r="C814" s="49"/>
      <c r="D814" s="10"/>
      <c r="E814" s="50"/>
      <c r="F814" s="50"/>
      <c r="G814" s="10"/>
    </row>
    <row r="815" spans="2:7" ht="28.5" customHeight="1" x14ac:dyDescent="0.45">
      <c r="B815" s="48"/>
      <c r="C815" s="49"/>
      <c r="D815" s="10"/>
      <c r="E815" s="50"/>
      <c r="F815" s="50"/>
      <c r="G815" s="10"/>
    </row>
    <row r="816" spans="2:7" ht="28.5" customHeight="1" x14ac:dyDescent="0.45">
      <c r="B816" s="48"/>
      <c r="C816" s="49"/>
      <c r="D816" s="10"/>
      <c r="E816" s="50"/>
      <c r="F816" s="50"/>
      <c r="G816" s="10"/>
    </row>
    <row r="817" spans="2:7" ht="28.5" customHeight="1" x14ac:dyDescent="0.45">
      <c r="B817" s="48"/>
      <c r="C817" s="49"/>
      <c r="D817" s="10"/>
      <c r="E817" s="50"/>
      <c r="F817" s="50"/>
      <c r="G817" s="10"/>
    </row>
    <row r="818" spans="2:7" ht="28.5" customHeight="1" x14ac:dyDescent="0.45">
      <c r="B818" s="48"/>
      <c r="C818" s="49"/>
      <c r="D818" s="10"/>
      <c r="E818" s="50"/>
      <c r="F818" s="50"/>
      <c r="G818" s="10"/>
    </row>
    <row r="819" spans="2:7" ht="28.5" customHeight="1" x14ac:dyDescent="0.45">
      <c r="B819" s="48"/>
      <c r="C819" s="49"/>
      <c r="D819" s="10"/>
      <c r="E819" s="50"/>
      <c r="F819" s="50"/>
      <c r="G819" s="10"/>
    </row>
    <row r="820" spans="2:7" ht="28.5" customHeight="1" x14ac:dyDescent="0.45">
      <c r="B820" s="48"/>
      <c r="C820" s="49"/>
      <c r="D820" s="10"/>
      <c r="E820" s="50"/>
      <c r="F820" s="50"/>
      <c r="G820" s="10"/>
    </row>
    <row r="821" spans="2:7" ht="28.5" customHeight="1" x14ac:dyDescent="0.45">
      <c r="B821" s="48"/>
      <c r="C821" s="49"/>
      <c r="D821" s="10"/>
      <c r="E821" s="50"/>
      <c r="F821" s="50"/>
      <c r="G821" s="10"/>
    </row>
    <row r="822" spans="2:7" ht="28.5" customHeight="1" x14ac:dyDescent="0.45">
      <c r="B822" s="48"/>
      <c r="C822" s="49"/>
      <c r="D822" s="10"/>
      <c r="E822" s="50"/>
      <c r="F822" s="50"/>
      <c r="G822" s="10"/>
    </row>
    <row r="823" spans="2:7" ht="28.5" customHeight="1" x14ac:dyDescent="0.45">
      <c r="B823" s="48"/>
      <c r="C823" s="49"/>
      <c r="D823" s="10"/>
      <c r="E823" s="50"/>
      <c r="F823" s="50"/>
      <c r="G823" s="10"/>
    </row>
    <row r="824" spans="2:7" ht="28.5" customHeight="1" x14ac:dyDescent="0.45">
      <c r="B824" s="48"/>
      <c r="C824" s="49"/>
      <c r="D824" s="10"/>
      <c r="E824" s="50"/>
      <c r="F824" s="50"/>
      <c r="G824" s="10"/>
    </row>
    <row r="825" spans="2:7" ht="28.5" customHeight="1" x14ac:dyDescent="0.45">
      <c r="B825" s="48"/>
      <c r="C825" s="49"/>
      <c r="D825" s="10"/>
      <c r="E825" s="50"/>
      <c r="F825" s="50"/>
      <c r="G825" s="10"/>
    </row>
    <row r="826" spans="2:7" ht="28.5" customHeight="1" x14ac:dyDescent="0.45">
      <c r="B826" s="48"/>
      <c r="C826" s="49"/>
      <c r="D826" s="10"/>
      <c r="E826" s="50"/>
      <c r="F826" s="50"/>
      <c r="G826" s="10"/>
    </row>
    <row r="827" spans="2:7" ht="28.5" customHeight="1" x14ac:dyDescent="0.45">
      <c r="B827" s="48"/>
      <c r="C827" s="49"/>
      <c r="D827" s="10"/>
      <c r="E827" s="50"/>
      <c r="F827" s="50"/>
      <c r="G827" s="10"/>
    </row>
    <row r="828" spans="2:7" ht="28.5" customHeight="1" x14ac:dyDescent="0.45">
      <c r="B828" s="48"/>
      <c r="C828" s="49"/>
      <c r="D828" s="10"/>
      <c r="E828" s="50"/>
      <c r="F828" s="50"/>
      <c r="G828" s="10"/>
    </row>
    <row r="829" spans="2:7" ht="28.5" customHeight="1" x14ac:dyDescent="0.45">
      <c r="B829" s="48"/>
      <c r="C829" s="49"/>
      <c r="D829" s="10"/>
      <c r="E829" s="50"/>
      <c r="F829" s="50"/>
      <c r="G829" s="10"/>
    </row>
    <row r="830" spans="2:7" ht="28.5" customHeight="1" x14ac:dyDescent="0.45">
      <c r="B830" s="48"/>
      <c r="C830" s="49"/>
      <c r="D830" s="10"/>
      <c r="E830" s="50"/>
      <c r="F830" s="50"/>
      <c r="G830" s="10"/>
    </row>
    <row r="831" spans="2:7" ht="28.5" customHeight="1" x14ac:dyDescent="0.45">
      <c r="B831" s="48"/>
      <c r="C831" s="49"/>
      <c r="D831" s="10"/>
      <c r="E831" s="50"/>
      <c r="F831" s="50"/>
      <c r="G831" s="10"/>
    </row>
    <row r="832" spans="2:7" ht="28.5" customHeight="1" x14ac:dyDescent="0.45">
      <c r="B832" s="48"/>
      <c r="C832" s="49"/>
      <c r="D832" s="10"/>
      <c r="E832" s="50"/>
      <c r="F832" s="50"/>
      <c r="G832" s="10"/>
    </row>
    <row r="833" spans="2:7" ht="28.5" customHeight="1" x14ac:dyDescent="0.45">
      <c r="B833" s="48"/>
      <c r="C833" s="49"/>
      <c r="D833" s="10"/>
      <c r="E833" s="50"/>
      <c r="F833" s="50"/>
      <c r="G833" s="10"/>
    </row>
    <row r="834" spans="2:7" ht="28.5" customHeight="1" x14ac:dyDescent="0.45">
      <c r="B834" s="48"/>
      <c r="C834" s="49"/>
      <c r="D834" s="10"/>
      <c r="E834" s="50"/>
      <c r="F834" s="50"/>
      <c r="G834" s="10"/>
    </row>
    <row r="835" spans="2:7" ht="28.5" customHeight="1" x14ac:dyDescent="0.45">
      <c r="B835" s="48"/>
      <c r="C835" s="49"/>
      <c r="D835" s="10"/>
      <c r="E835" s="50"/>
      <c r="F835" s="50"/>
      <c r="G835" s="10"/>
    </row>
    <row r="836" spans="2:7" ht="28.5" customHeight="1" x14ac:dyDescent="0.45">
      <c r="B836" s="48"/>
      <c r="C836" s="49"/>
      <c r="D836" s="10"/>
      <c r="E836" s="50"/>
      <c r="F836" s="50"/>
      <c r="G836" s="10"/>
    </row>
    <row r="837" spans="2:7" ht="28.5" customHeight="1" x14ac:dyDescent="0.45">
      <c r="B837" s="48"/>
      <c r="C837" s="49"/>
      <c r="D837" s="10"/>
      <c r="E837" s="50"/>
      <c r="F837" s="50"/>
      <c r="G837" s="10"/>
    </row>
    <row r="838" spans="2:7" ht="28.5" customHeight="1" x14ac:dyDescent="0.45">
      <c r="B838" s="48"/>
      <c r="C838" s="49"/>
      <c r="D838" s="10"/>
      <c r="E838" s="50"/>
      <c r="F838" s="50"/>
      <c r="G838" s="10"/>
    </row>
    <row r="839" spans="2:7" ht="28.5" customHeight="1" x14ac:dyDescent="0.45">
      <c r="B839" s="48"/>
      <c r="C839" s="49"/>
      <c r="D839" s="10"/>
      <c r="E839" s="50"/>
      <c r="F839" s="50"/>
      <c r="G839" s="10"/>
    </row>
    <row r="840" spans="2:7" ht="28.5" customHeight="1" x14ac:dyDescent="0.45">
      <c r="B840" s="48"/>
      <c r="C840" s="49"/>
      <c r="D840" s="10"/>
      <c r="E840" s="50"/>
      <c r="F840" s="50"/>
      <c r="G840" s="10"/>
    </row>
    <row r="841" spans="2:7" ht="28.5" customHeight="1" x14ac:dyDescent="0.45">
      <c r="B841" s="48"/>
      <c r="C841" s="49"/>
      <c r="D841" s="10"/>
      <c r="E841" s="50"/>
      <c r="F841" s="50"/>
      <c r="G841" s="10"/>
    </row>
    <row r="842" spans="2:7" ht="28.5" customHeight="1" x14ac:dyDescent="0.45">
      <c r="B842" s="48"/>
      <c r="C842" s="49"/>
      <c r="D842" s="10"/>
      <c r="E842" s="50"/>
      <c r="F842" s="50"/>
      <c r="G842" s="10"/>
    </row>
    <row r="843" spans="2:7" ht="28.5" customHeight="1" x14ac:dyDescent="0.45">
      <c r="B843" s="48"/>
      <c r="C843" s="49"/>
      <c r="D843" s="10"/>
      <c r="E843" s="50"/>
      <c r="F843" s="50"/>
      <c r="G843" s="10"/>
    </row>
    <row r="844" spans="2:7" ht="28.5" customHeight="1" x14ac:dyDescent="0.45">
      <c r="B844" s="48"/>
      <c r="C844" s="49"/>
      <c r="D844" s="10"/>
      <c r="E844" s="50"/>
      <c r="F844" s="50"/>
      <c r="G844" s="10"/>
    </row>
    <row r="845" spans="2:7" ht="28.5" customHeight="1" x14ac:dyDescent="0.45">
      <c r="B845" s="48"/>
      <c r="C845" s="49"/>
      <c r="D845" s="10"/>
      <c r="E845" s="50"/>
      <c r="F845" s="50"/>
      <c r="G845" s="10"/>
    </row>
    <row r="846" spans="2:7" ht="28.5" customHeight="1" x14ac:dyDescent="0.45">
      <c r="B846" s="48"/>
      <c r="C846" s="49"/>
      <c r="D846" s="10"/>
      <c r="E846" s="50"/>
      <c r="F846" s="50"/>
      <c r="G846" s="10"/>
    </row>
    <row r="847" spans="2:7" ht="28.5" customHeight="1" x14ac:dyDescent="0.45">
      <c r="B847" s="48"/>
      <c r="C847" s="49"/>
      <c r="D847" s="10"/>
      <c r="E847" s="50"/>
      <c r="F847" s="50"/>
      <c r="G847" s="10"/>
    </row>
    <row r="848" spans="2:7" ht="28.5" customHeight="1" x14ac:dyDescent="0.45">
      <c r="B848" s="48"/>
      <c r="C848" s="49"/>
      <c r="D848" s="10"/>
      <c r="E848" s="50"/>
      <c r="F848" s="50"/>
      <c r="G848" s="10"/>
    </row>
    <row r="849" spans="2:7" ht="28.5" customHeight="1" x14ac:dyDescent="0.45">
      <c r="B849" s="48"/>
      <c r="C849" s="49"/>
      <c r="D849" s="10"/>
      <c r="E849" s="50"/>
      <c r="F849" s="50"/>
      <c r="G849" s="10"/>
    </row>
    <row r="850" spans="2:7" ht="28.5" customHeight="1" x14ac:dyDescent="0.45">
      <c r="B850" s="48"/>
      <c r="C850" s="49"/>
      <c r="D850" s="10"/>
      <c r="E850" s="50"/>
      <c r="F850" s="50"/>
      <c r="G850" s="10"/>
    </row>
    <row r="851" spans="2:7" ht="28.5" customHeight="1" x14ac:dyDescent="0.45">
      <c r="B851" s="48"/>
      <c r="C851" s="49"/>
      <c r="D851" s="10"/>
      <c r="E851" s="50"/>
      <c r="F851" s="50"/>
      <c r="G851" s="10"/>
    </row>
    <row r="852" spans="2:7" ht="28.5" customHeight="1" x14ac:dyDescent="0.45">
      <c r="B852" s="48"/>
      <c r="C852" s="49"/>
      <c r="D852" s="10"/>
      <c r="E852" s="50"/>
      <c r="F852" s="50"/>
      <c r="G852" s="10"/>
    </row>
    <row r="853" spans="2:7" ht="28.5" customHeight="1" x14ac:dyDescent="0.45">
      <c r="B853" s="48"/>
      <c r="C853" s="49"/>
      <c r="D853" s="10"/>
      <c r="E853" s="50"/>
      <c r="F853" s="50"/>
      <c r="G853" s="10"/>
    </row>
    <row r="854" spans="2:7" ht="28.5" customHeight="1" x14ac:dyDescent="0.45">
      <c r="B854" s="48"/>
      <c r="C854" s="49"/>
      <c r="D854" s="10"/>
      <c r="E854" s="50"/>
      <c r="F854" s="50"/>
      <c r="G854" s="10"/>
    </row>
    <row r="855" spans="2:7" ht="28.5" customHeight="1" x14ac:dyDescent="0.45">
      <c r="B855" s="48"/>
      <c r="C855" s="49"/>
      <c r="D855" s="10"/>
      <c r="E855" s="50"/>
      <c r="F855" s="50"/>
      <c r="G855" s="10"/>
    </row>
    <row r="856" spans="2:7" ht="28.5" customHeight="1" x14ac:dyDescent="0.45">
      <c r="B856" s="48"/>
      <c r="C856" s="49"/>
      <c r="D856" s="10"/>
      <c r="E856" s="50"/>
      <c r="F856" s="50"/>
      <c r="G856" s="10"/>
    </row>
    <row r="857" spans="2:7" ht="28.5" customHeight="1" x14ac:dyDescent="0.45">
      <c r="B857" s="48"/>
      <c r="C857" s="49"/>
      <c r="D857" s="10"/>
      <c r="E857" s="50"/>
      <c r="F857" s="50"/>
      <c r="G857" s="10"/>
    </row>
    <row r="858" spans="2:7" ht="28.5" customHeight="1" x14ac:dyDescent="0.45">
      <c r="B858" s="48"/>
      <c r="C858" s="49"/>
      <c r="D858" s="10"/>
      <c r="E858" s="50"/>
      <c r="F858" s="50"/>
      <c r="G858" s="10"/>
    </row>
    <row r="859" spans="2:7" ht="28.5" customHeight="1" x14ac:dyDescent="0.45">
      <c r="B859" s="48"/>
      <c r="C859" s="49"/>
      <c r="D859" s="10"/>
      <c r="E859" s="50"/>
      <c r="F859" s="50"/>
      <c r="G859" s="10"/>
    </row>
    <row r="860" spans="2:7" ht="28.5" customHeight="1" x14ac:dyDescent="0.45">
      <c r="B860" s="48"/>
      <c r="C860" s="49"/>
      <c r="D860" s="10"/>
      <c r="E860" s="50"/>
      <c r="F860" s="50"/>
      <c r="G860" s="10"/>
    </row>
    <row r="861" spans="2:7" ht="28.5" customHeight="1" x14ac:dyDescent="0.45">
      <c r="B861" s="48"/>
      <c r="C861" s="49"/>
      <c r="D861" s="10"/>
      <c r="E861" s="50"/>
      <c r="F861" s="50"/>
      <c r="G861" s="10"/>
    </row>
    <row r="862" spans="2:7" ht="28.5" customHeight="1" x14ac:dyDescent="0.45">
      <c r="B862" s="48"/>
      <c r="C862" s="49"/>
      <c r="D862" s="10"/>
      <c r="E862" s="50"/>
      <c r="F862" s="50"/>
      <c r="G862" s="10"/>
    </row>
    <row r="863" spans="2:7" ht="28.5" customHeight="1" x14ac:dyDescent="0.45">
      <c r="B863" s="48"/>
      <c r="C863" s="49"/>
      <c r="D863" s="10"/>
      <c r="E863" s="50"/>
      <c r="F863" s="50"/>
      <c r="G863" s="10"/>
    </row>
    <row r="864" spans="2:7" ht="28.5" customHeight="1" x14ac:dyDescent="0.45">
      <c r="B864" s="48"/>
      <c r="C864" s="49"/>
      <c r="D864" s="10"/>
      <c r="E864" s="50"/>
      <c r="F864" s="50"/>
      <c r="G864" s="10"/>
    </row>
    <row r="865" spans="2:7" ht="28.5" customHeight="1" x14ac:dyDescent="0.45">
      <c r="B865" s="48"/>
      <c r="C865" s="49"/>
      <c r="D865" s="10"/>
      <c r="E865" s="50"/>
      <c r="F865" s="50"/>
      <c r="G865" s="10"/>
    </row>
    <row r="866" spans="2:7" ht="28.5" customHeight="1" x14ac:dyDescent="0.45">
      <c r="B866" s="48"/>
      <c r="C866" s="49"/>
      <c r="D866" s="10"/>
      <c r="E866" s="50"/>
      <c r="F866" s="50"/>
      <c r="G866" s="10"/>
    </row>
    <row r="867" spans="2:7" ht="28.5" customHeight="1" x14ac:dyDescent="0.45">
      <c r="B867" s="48"/>
      <c r="C867" s="49"/>
      <c r="D867" s="10"/>
      <c r="E867" s="50"/>
      <c r="F867" s="50"/>
      <c r="G867" s="10"/>
    </row>
    <row r="868" spans="2:7" ht="28.5" customHeight="1" x14ac:dyDescent="0.45">
      <c r="B868" s="48"/>
      <c r="C868" s="49"/>
      <c r="D868" s="10"/>
      <c r="E868" s="50"/>
      <c r="F868" s="50"/>
      <c r="G868" s="10"/>
    </row>
    <row r="869" spans="2:7" ht="28.5" customHeight="1" x14ac:dyDescent="0.45">
      <c r="B869" s="48"/>
      <c r="C869" s="49"/>
      <c r="D869" s="10"/>
      <c r="E869" s="50"/>
      <c r="F869" s="50"/>
      <c r="G869" s="10"/>
    </row>
    <row r="870" spans="2:7" ht="28.5" customHeight="1" x14ac:dyDescent="0.45">
      <c r="B870" s="48"/>
      <c r="C870" s="49"/>
      <c r="D870" s="10"/>
      <c r="E870" s="50"/>
      <c r="F870" s="50"/>
      <c r="G870" s="10"/>
    </row>
    <row r="871" spans="2:7" ht="28.5" customHeight="1" x14ac:dyDescent="0.45">
      <c r="B871" s="48"/>
      <c r="C871" s="49"/>
      <c r="D871" s="10"/>
      <c r="E871" s="50"/>
      <c r="F871" s="50"/>
      <c r="G871" s="10"/>
    </row>
    <row r="872" spans="2:7" ht="28.5" customHeight="1" x14ac:dyDescent="0.45">
      <c r="B872" s="48"/>
      <c r="C872" s="49"/>
      <c r="D872" s="10"/>
      <c r="E872" s="50"/>
      <c r="F872" s="50"/>
      <c r="G872" s="10"/>
    </row>
    <row r="873" spans="2:7" ht="28.5" customHeight="1" x14ac:dyDescent="0.45">
      <c r="B873" s="48"/>
      <c r="C873" s="49"/>
      <c r="D873" s="10"/>
      <c r="E873" s="50"/>
      <c r="F873" s="50"/>
      <c r="G873" s="10"/>
    </row>
    <row r="874" spans="2:7" ht="28.5" customHeight="1" x14ac:dyDescent="0.45">
      <c r="B874" s="48"/>
      <c r="C874" s="49"/>
      <c r="D874" s="10"/>
      <c r="E874" s="50"/>
      <c r="F874" s="50"/>
      <c r="G874" s="10"/>
    </row>
    <row r="875" spans="2:7" ht="28.5" customHeight="1" x14ac:dyDescent="0.45">
      <c r="B875" s="48"/>
      <c r="C875" s="49"/>
      <c r="D875" s="10"/>
      <c r="E875" s="50"/>
      <c r="F875" s="50"/>
      <c r="G875" s="10"/>
    </row>
    <row r="876" spans="2:7" ht="28.5" customHeight="1" x14ac:dyDescent="0.45">
      <c r="B876" s="48"/>
      <c r="C876" s="49"/>
      <c r="D876" s="10"/>
      <c r="E876" s="50"/>
      <c r="F876" s="50"/>
      <c r="G876" s="10"/>
    </row>
    <row r="877" spans="2:7" ht="28.5" customHeight="1" x14ac:dyDescent="0.45">
      <c r="B877" s="48"/>
      <c r="C877" s="49"/>
      <c r="D877" s="10"/>
      <c r="E877" s="50"/>
      <c r="F877" s="50"/>
      <c r="G877" s="10"/>
    </row>
    <row r="878" spans="2:7" ht="28.5" customHeight="1" x14ac:dyDescent="0.45">
      <c r="B878" s="48"/>
      <c r="C878" s="49"/>
      <c r="D878" s="10"/>
      <c r="E878" s="50"/>
      <c r="F878" s="50"/>
      <c r="G878" s="10"/>
    </row>
    <row r="879" spans="2:7" ht="28.5" customHeight="1" x14ac:dyDescent="0.45">
      <c r="B879" s="48"/>
      <c r="C879" s="49"/>
      <c r="D879" s="10"/>
      <c r="E879" s="50"/>
      <c r="F879" s="50"/>
      <c r="G879" s="10"/>
    </row>
    <row r="880" spans="2:7" ht="28.5" customHeight="1" x14ac:dyDescent="0.45">
      <c r="B880" s="48"/>
      <c r="C880" s="49"/>
      <c r="D880" s="10"/>
      <c r="E880" s="50"/>
      <c r="F880" s="50"/>
      <c r="G880" s="10"/>
    </row>
    <row r="881" spans="2:7" ht="28.5" customHeight="1" x14ac:dyDescent="0.45">
      <c r="B881" s="48"/>
      <c r="C881" s="49"/>
      <c r="D881" s="10"/>
      <c r="E881" s="50"/>
      <c r="F881" s="50"/>
      <c r="G881" s="10"/>
    </row>
    <row r="882" spans="2:7" ht="28.5" customHeight="1" x14ac:dyDescent="0.45">
      <c r="B882" s="48"/>
      <c r="C882" s="49"/>
      <c r="D882" s="10"/>
      <c r="E882" s="50"/>
      <c r="F882" s="50"/>
      <c r="G882" s="10"/>
    </row>
    <row r="883" spans="2:7" ht="28.5" customHeight="1" x14ac:dyDescent="0.45">
      <c r="B883" s="48"/>
      <c r="C883" s="49"/>
      <c r="D883" s="10"/>
      <c r="E883" s="50"/>
      <c r="F883" s="50"/>
      <c r="G883" s="10"/>
    </row>
    <row r="884" spans="2:7" ht="28.5" customHeight="1" x14ac:dyDescent="0.45">
      <c r="B884" s="48"/>
      <c r="C884" s="49"/>
      <c r="D884" s="10"/>
      <c r="E884" s="50"/>
      <c r="F884" s="50"/>
      <c r="G884" s="10"/>
    </row>
    <row r="885" spans="2:7" ht="28.5" customHeight="1" x14ac:dyDescent="0.45">
      <c r="B885" s="48"/>
      <c r="C885" s="49"/>
      <c r="D885" s="10"/>
      <c r="E885" s="50"/>
      <c r="F885" s="50"/>
      <c r="G885" s="10"/>
    </row>
    <row r="886" spans="2:7" ht="28.5" customHeight="1" x14ac:dyDescent="0.45">
      <c r="B886" s="48"/>
      <c r="C886" s="49"/>
      <c r="D886" s="10"/>
      <c r="E886" s="50"/>
      <c r="F886" s="50"/>
      <c r="G886" s="10"/>
    </row>
    <row r="887" spans="2:7" ht="28.5" customHeight="1" x14ac:dyDescent="0.45">
      <c r="B887" s="48"/>
      <c r="C887" s="49"/>
      <c r="D887" s="10"/>
      <c r="E887" s="50"/>
      <c r="F887" s="50"/>
      <c r="G887" s="10"/>
    </row>
    <row r="888" spans="2:7" ht="28.5" customHeight="1" x14ac:dyDescent="0.45">
      <c r="B888" s="48"/>
      <c r="C888" s="49"/>
      <c r="D888" s="10"/>
      <c r="E888" s="50"/>
      <c r="F888" s="50"/>
      <c r="G888" s="10"/>
    </row>
    <row r="889" spans="2:7" ht="28.5" customHeight="1" x14ac:dyDescent="0.45">
      <c r="B889" s="48"/>
      <c r="C889" s="49"/>
      <c r="D889" s="10"/>
      <c r="E889" s="50"/>
      <c r="F889" s="50"/>
      <c r="G889" s="10"/>
    </row>
    <row r="890" spans="2:7" ht="28.5" customHeight="1" x14ac:dyDescent="0.45">
      <c r="B890" s="48"/>
      <c r="C890" s="49"/>
      <c r="D890" s="10"/>
      <c r="E890" s="50"/>
      <c r="F890" s="50"/>
      <c r="G890" s="10"/>
    </row>
    <row r="891" spans="2:7" ht="28.5" customHeight="1" x14ac:dyDescent="0.45">
      <c r="B891" s="48"/>
      <c r="C891" s="49"/>
      <c r="D891" s="10"/>
      <c r="E891" s="50"/>
      <c r="F891" s="50"/>
      <c r="G891" s="10"/>
    </row>
    <row r="892" spans="2:7" ht="28.5" customHeight="1" x14ac:dyDescent="0.45">
      <c r="B892" s="48"/>
      <c r="C892" s="49"/>
      <c r="D892" s="10"/>
      <c r="E892" s="50"/>
      <c r="F892" s="50"/>
      <c r="G892" s="10"/>
    </row>
    <row r="893" spans="2:7" ht="28.5" customHeight="1" x14ac:dyDescent="0.45">
      <c r="B893" s="48"/>
      <c r="C893" s="49"/>
      <c r="D893" s="10"/>
      <c r="E893" s="50"/>
      <c r="F893" s="50"/>
      <c r="G893" s="10"/>
    </row>
    <row r="894" spans="2:7" ht="28.5" customHeight="1" x14ac:dyDescent="0.45">
      <c r="B894" s="48"/>
      <c r="C894" s="49"/>
      <c r="D894" s="10"/>
      <c r="E894" s="50"/>
      <c r="F894" s="50"/>
      <c r="G894" s="10"/>
    </row>
    <row r="895" spans="2:7" ht="28.5" customHeight="1" x14ac:dyDescent="0.45">
      <c r="B895" s="48"/>
      <c r="C895" s="49"/>
      <c r="D895" s="10"/>
      <c r="E895" s="50"/>
      <c r="F895" s="50"/>
      <c r="G895" s="10"/>
    </row>
    <row r="896" spans="2:7" ht="28.5" customHeight="1" x14ac:dyDescent="0.45">
      <c r="B896" s="48"/>
      <c r="C896" s="49"/>
      <c r="D896" s="10"/>
      <c r="E896" s="50"/>
      <c r="F896" s="50"/>
      <c r="G896" s="10"/>
    </row>
    <row r="897" spans="2:7" ht="28.5" customHeight="1" x14ac:dyDescent="0.45">
      <c r="B897" s="48"/>
      <c r="C897" s="49"/>
      <c r="D897" s="10"/>
      <c r="E897" s="50"/>
      <c r="F897" s="50"/>
      <c r="G897" s="10"/>
    </row>
    <row r="898" spans="2:7" ht="28.5" customHeight="1" x14ac:dyDescent="0.45">
      <c r="B898" s="48"/>
      <c r="C898" s="49"/>
      <c r="D898" s="10"/>
      <c r="E898" s="50"/>
      <c r="F898" s="50"/>
      <c r="G898" s="10"/>
    </row>
    <row r="899" spans="2:7" ht="28.5" customHeight="1" x14ac:dyDescent="0.45">
      <c r="B899" s="48"/>
      <c r="C899" s="49"/>
      <c r="D899" s="10"/>
      <c r="E899" s="50"/>
      <c r="F899" s="50"/>
      <c r="G899" s="10"/>
    </row>
    <row r="900" spans="2:7" ht="28.5" customHeight="1" x14ac:dyDescent="0.45">
      <c r="B900" s="48"/>
      <c r="C900" s="49"/>
      <c r="D900" s="10"/>
      <c r="E900" s="50"/>
      <c r="F900" s="50"/>
      <c r="G900" s="10"/>
    </row>
    <row r="901" spans="2:7" ht="28.5" customHeight="1" x14ac:dyDescent="0.45">
      <c r="B901" s="48"/>
      <c r="C901" s="49"/>
      <c r="D901" s="10"/>
      <c r="E901" s="50"/>
      <c r="F901" s="50"/>
      <c r="G901" s="10"/>
    </row>
    <row r="902" spans="2:7" ht="28.5" customHeight="1" x14ac:dyDescent="0.45">
      <c r="B902" s="48"/>
      <c r="C902" s="49"/>
      <c r="D902" s="10"/>
      <c r="E902" s="50"/>
      <c r="F902" s="50"/>
      <c r="G902" s="10"/>
    </row>
    <row r="903" spans="2:7" ht="28.5" customHeight="1" x14ac:dyDescent="0.45">
      <c r="B903" s="48"/>
      <c r="C903" s="49"/>
      <c r="D903" s="10"/>
      <c r="E903" s="50"/>
      <c r="F903" s="50"/>
      <c r="G903" s="10"/>
    </row>
    <row r="904" spans="2:7" ht="28.5" customHeight="1" x14ac:dyDescent="0.45">
      <c r="B904" s="48"/>
      <c r="C904" s="49"/>
      <c r="D904" s="10"/>
      <c r="E904" s="50"/>
      <c r="F904" s="50"/>
      <c r="G904" s="10"/>
    </row>
    <row r="905" spans="2:7" ht="28.5" customHeight="1" x14ac:dyDescent="0.45">
      <c r="B905" s="48"/>
      <c r="C905" s="49"/>
      <c r="D905" s="10"/>
      <c r="E905" s="50"/>
      <c r="F905" s="50"/>
      <c r="G905" s="10"/>
    </row>
    <row r="906" spans="2:7" ht="28.5" customHeight="1" x14ac:dyDescent="0.45">
      <c r="B906" s="48"/>
      <c r="C906" s="49"/>
      <c r="D906" s="10"/>
      <c r="E906" s="50"/>
      <c r="F906" s="50"/>
      <c r="G906" s="10"/>
    </row>
    <row r="907" spans="2:7" ht="28.5" customHeight="1" x14ac:dyDescent="0.45">
      <c r="B907" s="48"/>
      <c r="C907" s="49"/>
      <c r="D907" s="10"/>
      <c r="E907" s="50"/>
      <c r="F907" s="50"/>
      <c r="G907" s="10"/>
    </row>
    <row r="908" spans="2:7" ht="28.5" customHeight="1" x14ac:dyDescent="0.45">
      <c r="B908" s="48"/>
      <c r="C908" s="49"/>
      <c r="D908" s="10"/>
      <c r="E908" s="50"/>
      <c r="F908" s="50"/>
      <c r="G908" s="10"/>
    </row>
    <row r="909" spans="2:7" ht="28.5" customHeight="1" x14ac:dyDescent="0.45">
      <c r="B909" s="48"/>
      <c r="C909" s="49"/>
      <c r="D909" s="10"/>
      <c r="E909" s="50"/>
      <c r="F909" s="50"/>
      <c r="G909" s="10"/>
    </row>
    <row r="910" spans="2:7" ht="28.5" customHeight="1" x14ac:dyDescent="0.45">
      <c r="B910" s="48"/>
      <c r="C910" s="49"/>
      <c r="D910" s="10"/>
      <c r="E910" s="50"/>
      <c r="F910" s="50"/>
      <c r="G910" s="10"/>
    </row>
    <row r="911" spans="2:7" ht="28.5" customHeight="1" x14ac:dyDescent="0.45">
      <c r="B911" s="48"/>
      <c r="C911" s="49"/>
      <c r="D911" s="10"/>
      <c r="E911" s="50"/>
      <c r="F911" s="50"/>
      <c r="G911" s="10"/>
    </row>
    <row r="912" spans="2:7" ht="28.5" customHeight="1" x14ac:dyDescent="0.45">
      <c r="B912" s="48"/>
      <c r="C912" s="49"/>
      <c r="D912" s="10"/>
      <c r="E912" s="50"/>
      <c r="F912" s="50"/>
      <c r="G912" s="10"/>
    </row>
    <row r="913" spans="2:7" ht="28.5" customHeight="1" x14ac:dyDescent="0.45">
      <c r="B913" s="48"/>
      <c r="C913" s="49"/>
      <c r="D913" s="10"/>
      <c r="E913" s="50"/>
      <c r="F913" s="50"/>
      <c r="G913" s="10"/>
    </row>
    <row r="914" spans="2:7" ht="28.5" customHeight="1" x14ac:dyDescent="0.45">
      <c r="B914" s="48"/>
      <c r="C914" s="49"/>
      <c r="D914" s="10"/>
      <c r="E914" s="50"/>
      <c r="F914" s="50"/>
      <c r="G914" s="10"/>
    </row>
    <row r="915" spans="2:7" ht="28.5" customHeight="1" x14ac:dyDescent="0.45">
      <c r="B915" s="48"/>
      <c r="C915" s="49"/>
      <c r="D915" s="10"/>
      <c r="E915" s="50"/>
      <c r="F915" s="50"/>
      <c r="G915" s="10"/>
    </row>
    <row r="916" spans="2:7" ht="28.5" customHeight="1" x14ac:dyDescent="0.45">
      <c r="B916" s="48"/>
      <c r="C916" s="49"/>
      <c r="D916" s="10"/>
      <c r="E916" s="50"/>
      <c r="F916" s="50"/>
      <c r="G916" s="10"/>
    </row>
    <row r="917" spans="2:7" ht="28.5" customHeight="1" x14ac:dyDescent="0.45">
      <c r="B917" s="48"/>
      <c r="C917" s="49"/>
      <c r="D917" s="10"/>
      <c r="E917" s="50"/>
      <c r="F917" s="50"/>
      <c r="G917" s="10"/>
    </row>
    <row r="918" spans="2:7" ht="28.5" customHeight="1" x14ac:dyDescent="0.45">
      <c r="B918" s="48"/>
      <c r="C918" s="49"/>
      <c r="D918" s="10"/>
      <c r="E918" s="50"/>
      <c r="F918" s="50"/>
      <c r="G918" s="10"/>
    </row>
    <row r="919" spans="2:7" ht="28.5" customHeight="1" x14ac:dyDescent="0.45">
      <c r="B919" s="48"/>
      <c r="C919" s="49"/>
      <c r="D919" s="10"/>
      <c r="E919" s="50"/>
      <c r="F919" s="50"/>
      <c r="G919" s="10"/>
    </row>
    <row r="920" spans="2:7" ht="28.5" customHeight="1" x14ac:dyDescent="0.45">
      <c r="B920" s="48"/>
      <c r="C920" s="49"/>
      <c r="D920" s="10"/>
      <c r="E920" s="50"/>
      <c r="F920" s="50"/>
      <c r="G920" s="10"/>
    </row>
    <row r="921" spans="2:7" ht="28.5" customHeight="1" x14ac:dyDescent="0.45">
      <c r="B921" s="48"/>
      <c r="C921" s="49"/>
      <c r="D921" s="10"/>
      <c r="E921" s="50"/>
      <c r="F921" s="50"/>
      <c r="G921" s="10"/>
    </row>
    <row r="922" spans="2:7" ht="28.5" customHeight="1" x14ac:dyDescent="0.45">
      <c r="B922" s="48"/>
      <c r="C922" s="49"/>
      <c r="D922" s="10"/>
      <c r="E922" s="50"/>
      <c r="F922" s="50"/>
      <c r="G922" s="10"/>
    </row>
    <row r="923" spans="2:7" ht="28.5" customHeight="1" x14ac:dyDescent="0.45">
      <c r="B923" s="48"/>
      <c r="C923" s="49"/>
      <c r="D923" s="10"/>
      <c r="E923" s="50"/>
      <c r="F923" s="50"/>
      <c r="G923" s="10"/>
    </row>
    <row r="924" spans="2:7" ht="28.5" customHeight="1" x14ac:dyDescent="0.45">
      <c r="B924" s="48"/>
      <c r="C924" s="49"/>
      <c r="D924" s="10"/>
      <c r="E924" s="50"/>
      <c r="F924" s="50"/>
      <c r="G924" s="10"/>
    </row>
    <row r="925" spans="2:7" ht="28.5" customHeight="1" x14ac:dyDescent="0.45">
      <c r="B925" s="48"/>
      <c r="C925" s="49"/>
      <c r="D925" s="10"/>
      <c r="E925" s="50"/>
      <c r="F925" s="50"/>
      <c r="G925" s="10"/>
    </row>
    <row r="926" spans="2:7" ht="28.5" customHeight="1" x14ac:dyDescent="0.45">
      <c r="B926" s="48"/>
      <c r="C926" s="49"/>
      <c r="D926" s="10"/>
      <c r="E926" s="50"/>
      <c r="F926" s="50"/>
      <c r="G926" s="10"/>
    </row>
    <row r="927" spans="2:7" ht="28.5" customHeight="1" x14ac:dyDescent="0.45">
      <c r="B927" s="48"/>
      <c r="C927" s="49"/>
      <c r="D927" s="10"/>
      <c r="E927" s="50"/>
      <c r="F927" s="50"/>
      <c r="G927" s="10"/>
    </row>
    <row r="928" spans="2:7" ht="28.5" customHeight="1" x14ac:dyDescent="0.45">
      <c r="B928" s="48"/>
      <c r="C928" s="49"/>
      <c r="D928" s="10"/>
      <c r="E928" s="50"/>
      <c r="F928" s="50"/>
      <c r="G928" s="10"/>
    </row>
    <row r="929" spans="2:7" ht="28.5" customHeight="1" x14ac:dyDescent="0.45">
      <c r="B929" s="48"/>
      <c r="C929" s="49"/>
      <c r="D929" s="10"/>
      <c r="E929" s="50"/>
      <c r="F929" s="50"/>
      <c r="G929" s="10"/>
    </row>
    <row r="930" spans="2:7" ht="28.5" customHeight="1" x14ac:dyDescent="0.45">
      <c r="B930" s="48"/>
      <c r="C930" s="49"/>
      <c r="D930" s="10"/>
      <c r="E930" s="50"/>
      <c r="F930" s="50"/>
      <c r="G930" s="10"/>
    </row>
    <row r="931" spans="2:7" ht="28.5" customHeight="1" x14ac:dyDescent="0.45">
      <c r="B931" s="48"/>
      <c r="C931" s="49"/>
      <c r="D931" s="10"/>
      <c r="E931" s="50"/>
      <c r="F931" s="50"/>
      <c r="G931" s="10"/>
    </row>
    <row r="932" spans="2:7" ht="28.5" customHeight="1" x14ac:dyDescent="0.45">
      <c r="B932" s="48"/>
      <c r="C932" s="49"/>
      <c r="D932" s="10"/>
      <c r="E932" s="50"/>
      <c r="F932" s="50"/>
      <c r="G932" s="10"/>
    </row>
    <row r="933" spans="2:7" ht="28.5" customHeight="1" x14ac:dyDescent="0.45">
      <c r="B933" s="48"/>
      <c r="C933" s="49"/>
      <c r="D933" s="10"/>
      <c r="E933" s="50"/>
      <c r="F933" s="50"/>
      <c r="G933" s="10"/>
    </row>
    <row r="934" spans="2:7" ht="28.5" customHeight="1" x14ac:dyDescent="0.45">
      <c r="B934" s="48"/>
      <c r="C934" s="49"/>
      <c r="D934" s="10"/>
      <c r="E934" s="50"/>
      <c r="F934" s="50"/>
      <c r="G934" s="10"/>
    </row>
    <row r="935" spans="2:7" ht="28.5" customHeight="1" x14ac:dyDescent="0.45">
      <c r="B935" s="48"/>
      <c r="C935" s="49"/>
      <c r="D935" s="10"/>
      <c r="E935" s="50"/>
      <c r="F935" s="50"/>
      <c r="G935" s="10"/>
    </row>
    <row r="936" spans="2:7" ht="28.5" customHeight="1" x14ac:dyDescent="0.45">
      <c r="B936" s="48"/>
      <c r="C936" s="49"/>
      <c r="D936" s="10"/>
      <c r="E936" s="50"/>
      <c r="F936" s="50"/>
      <c r="G936" s="10"/>
    </row>
    <row r="937" spans="2:7" ht="28.5" customHeight="1" x14ac:dyDescent="0.45">
      <c r="B937" s="48"/>
      <c r="C937" s="49"/>
      <c r="D937" s="10"/>
      <c r="E937" s="50"/>
      <c r="F937" s="50"/>
      <c r="G937" s="10"/>
    </row>
    <row r="938" spans="2:7" ht="28.5" customHeight="1" x14ac:dyDescent="0.45">
      <c r="B938" s="48"/>
      <c r="C938" s="49"/>
      <c r="D938" s="10"/>
      <c r="E938" s="50"/>
      <c r="F938" s="50"/>
      <c r="G938" s="10"/>
    </row>
    <row r="939" spans="2:7" ht="28.5" customHeight="1" x14ac:dyDescent="0.45">
      <c r="B939" s="48"/>
      <c r="C939" s="49"/>
      <c r="D939" s="10"/>
      <c r="E939" s="50"/>
      <c r="F939" s="50"/>
      <c r="G939" s="10"/>
    </row>
    <row r="940" spans="2:7" ht="28.5" customHeight="1" x14ac:dyDescent="0.45">
      <c r="B940" s="48"/>
      <c r="C940" s="49"/>
      <c r="D940" s="10"/>
      <c r="E940" s="50"/>
      <c r="F940" s="50"/>
      <c r="G940" s="10"/>
    </row>
    <row r="941" spans="2:7" ht="28.5" customHeight="1" x14ac:dyDescent="0.45">
      <c r="B941" s="48"/>
      <c r="C941" s="49"/>
      <c r="D941" s="10"/>
      <c r="E941" s="50"/>
      <c r="F941" s="50"/>
      <c r="G941" s="10"/>
    </row>
    <row r="942" spans="2:7" ht="28.5" customHeight="1" x14ac:dyDescent="0.45">
      <c r="B942" s="48"/>
      <c r="C942" s="49"/>
      <c r="D942" s="10"/>
      <c r="E942" s="50"/>
      <c r="F942" s="50"/>
      <c r="G942" s="10"/>
    </row>
    <row r="943" spans="2:7" ht="28.5" customHeight="1" x14ac:dyDescent="0.45">
      <c r="B943" s="48"/>
      <c r="C943" s="49"/>
      <c r="D943" s="10"/>
      <c r="E943" s="50"/>
      <c r="F943" s="50"/>
      <c r="G943" s="10"/>
    </row>
    <row r="944" spans="2:7" ht="28.5" customHeight="1" x14ac:dyDescent="0.45">
      <c r="B944" s="48"/>
      <c r="C944" s="49"/>
      <c r="D944" s="10"/>
      <c r="E944" s="50"/>
      <c r="F944" s="50"/>
      <c r="G944" s="10"/>
    </row>
    <row r="945" spans="2:7" ht="28.5" customHeight="1" x14ac:dyDescent="0.45">
      <c r="B945" s="48"/>
      <c r="C945" s="49"/>
      <c r="D945" s="10"/>
      <c r="E945" s="50"/>
      <c r="F945" s="50"/>
      <c r="G945" s="10"/>
    </row>
    <row r="946" spans="2:7" ht="28.5" customHeight="1" x14ac:dyDescent="0.45">
      <c r="B946" s="48"/>
      <c r="C946" s="49"/>
      <c r="D946" s="10"/>
      <c r="E946" s="50"/>
      <c r="F946" s="50"/>
      <c r="G946" s="10"/>
    </row>
    <row r="947" spans="2:7" ht="28.5" customHeight="1" x14ac:dyDescent="0.45">
      <c r="B947" s="48"/>
      <c r="C947" s="49"/>
      <c r="D947" s="10"/>
      <c r="E947" s="50"/>
      <c r="F947" s="50"/>
      <c r="G947" s="10"/>
    </row>
    <row r="948" spans="2:7" ht="28.5" customHeight="1" x14ac:dyDescent="0.45">
      <c r="B948" s="48"/>
      <c r="C948" s="49"/>
      <c r="D948" s="10"/>
      <c r="E948" s="50"/>
      <c r="F948" s="50"/>
      <c r="G948" s="10"/>
    </row>
    <row r="949" spans="2:7" ht="28.5" customHeight="1" x14ac:dyDescent="0.45">
      <c r="B949" s="48"/>
      <c r="C949" s="49"/>
      <c r="D949" s="10"/>
      <c r="E949" s="50"/>
      <c r="F949" s="50"/>
      <c r="G949" s="10"/>
    </row>
    <row r="950" spans="2:7" ht="28.5" customHeight="1" x14ac:dyDescent="0.45">
      <c r="B950" s="48"/>
      <c r="C950" s="49"/>
      <c r="D950" s="10"/>
      <c r="E950" s="50"/>
      <c r="F950" s="50"/>
      <c r="G950" s="10"/>
    </row>
    <row r="951" spans="2:7" ht="28.5" customHeight="1" x14ac:dyDescent="0.45">
      <c r="B951" s="48"/>
      <c r="C951" s="49"/>
      <c r="D951" s="10"/>
      <c r="E951" s="50"/>
      <c r="F951" s="50"/>
      <c r="G951" s="10"/>
    </row>
    <row r="952" spans="2:7" ht="28.5" customHeight="1" x14ac:dyDescent="0.45">
      <c r="B952" s="48"/>
      <c r="C952" s="49"/>
      <c r="D952" s="10"/>
      <c r="E952" s="50"/>
      <c r="F952" s="50"/>
      <c r="G952" s="10"/>
    </row>
    <row r="953" spans="2:7" ht="28.5" customHeight="1" x14ac:dyDescent="0.45">
      <c r="B953" s="48"/>
      <c r="C953" s="49"/>
      <c r="D953" s="10"/>
      <c r="E953" s="50"/>
      <c r="F953" s="50"/>
      <c r="G953" s="10"/>
    </row>
    <row r="954" spans="2:7" ht="28.5" customHeight="1" x14ac:dyDescent="0.45">
      <c r="B954" s="48"/>
      <c r="C954" s="49"/>
      <c r="D954" s="10"/>
      <c r="E954" s="50"/>
      <c r="F954" s="50"/>
      <c r="G954" s="10"/>
    </row>
    <row r="955" spans="2:7" ht="28.5" customHeight="1" x14ac:dyDescent="0.45">
      <c r="B955" s="48"/>
      <c r="C955" s="49"/>
      <c r="D955" s="10"/>
      <c r="E955" s="50"/>
      <c r="F955" s="50"/>
      <c r="G955" s="10"/>
    </row>
    <row r="956" spans="2:7" ht="28.5" customHeight="1" x14ac:dyDescent="0.45">
      <c r="B956" s="48"/>
      <c r="C956" s="49"/>
      <c r="D956" s="10"/>
      <c r="E956" s="50"/>
      <c r="F956" s="50"/>
      <c r="G956" s="10"/>
    </row>
    <row r="957" spans="2:7" ht="28.5" customHeight="1" x14ac:dyDescent="0.45">
      <c r="B957" s="48"/>
      <c r="C957" s="49"/>
      <c r="D957" s="10"/>
      <c r="E957" s="50"/>
      <c r="F957" s="50"/>
      <c r="G957" s="10"/>
    </row>
    <row r="958" spans="2:7" ht="28.5" customHeight="1" x14ac:dyDescent="0.45">
      <c r="B958" s="48"/>
      <c r="C958" s="49"/>
      <c r="D958" s="10"/>
      <c r="E958" s="50"/>
      <c r="F958" s="50"/>
      <c r="G958" s="10"/>
    </row>
    <row r="959" spans="2:7" ht="28.5" customHeight="1" x14ac:dyDescent="0.45">
      <c r="B959" s="48"/>
      <c r="C959" s="49"/>
      <c r="D959" s="10"/>
      <c r="E959" s="50"/>
      <c r="F959" s="50"/>
      <c r="G959" s="10"/>
    </row>
    <row r="960" spans="2:7" ht="28.5" customHeight="1" x14ac:dyDescent="0.45">
      <c r="B960" s="48"/>
      <c r="C960" s="49"/>
      <c r="D960" s="10"/>
      <c r="E960" s="50"/>
      <c r="F960" s="50"/>
      <c r="G960" s="10"/>
    </row>
    <row r="961" spans="2:7" ht="28.5" customHeight="1" x14ac:dyDescent="0.45">
      <c r="B961" s="48"/>
      <c r="C961" s="49"/>
      <c r="D961" s="10"/>
      <c r="E961" s="50"/>
      <c r="F961" s="50"/>
      <c r="G961" s="10"/>
    </row>
    <row r="962" spans="2:7" ht="28.5" customHeight="1" x14ac:dyDescent="0.45">
      <c r="B962" s="48"/>
      <c r="C962" s="49"/>
      <c r="D962" s="10"/>
      <c r="E962" s="50"/>
      <c r="F962" s="50"/>
      <c r="G962" s="10"/>
    </row>
    <row r="963" spans="2:7" ht="28.5" customHeight="1" x14ac:dyDescent="0.45">
      <c r="B963" s="48"/>
      <c r="C963" s="49"/>
      <c r="D963" s="10"/>
      <c r="E963" s="50"/>
      <c r="F963" s="50"/>
      <c r="G963" s="10"/>
    </row>
    <row r="964" spans="2:7" ht="28.5" customHeight="1" x14ac:dyDescent="0.45">
      <c r="B964" s="48"/>
      <c r="C964" s="49"/>
      <c r="D964" s="10"/>
      <c r="E964" s="50"/>
      <c r="F964" s="50"/>
      <c r="G964" s="10"/>
    </row>
    <row r="965" spans="2:7" ht="28.5" customHeight="1" x14ac:dyDescent="0.45">
      <c r="B965" s="48"/>
      <c r="C965" s="49"/>
      <c r="D965" s="10"/>
      <c r="E965" s="50"/>
      <c r="F965" s="50"/>
      <c r="G965" s="10"/>
    </row>
    <row r="966" spans="2:7" ht="28.5" customHeight="1" x14ac:dyDescent="0.45">
      <c r="B966" s="48"/>
      <c r="C966" s="49"/>
      <c r="D966" s="10"/>
      <c r="E966" s="50"/>
      <c r="F966" s="50"/>
      <c r="G966" s="10"/>
    </row>
    <row r="967" spans="2:7" ht="28.5" customHeight="1" x14ac:dyDescent="0.45">
      <c r="B967" s="48"/>
      <c r="C967" s="49"/>
      <c r="D967" s="10"/>
      <c r="E967" s="50"/>
      <c r="F967" s="50"/>
      <c r="G967" s="10"/>
    </row>
    <row r="968" spans="2:7" ht="28.5" customHeight="1" x14ac:dyDescent="0.45">
      <c r="B968" s="48"/>
      <c r="C968" s="49"/>
      <c r="D968" s="10"/>
      <c r="E968" s="50"/>
      <c r="F968" s="50"/>
      <c r="G968" s="10"/>
    </row>
    <row r="969" spans="2:7" ht="28.5" customHeight="1" x14ac:dyDescent="0.45">
      <c r="B969" s="48"/>
      <c r="C969" s="49"/>
      <c r="D969" s="10"/>
      <c r="E969" s="50"/>
      <c r="F969" s="50"/>
      <c r="G969" s="10"/>
    </row>
    <row r="970" spans="2:7" ht="28.5" customHeight="1" x14ac:dyDescent="0.45">
      <c r="B970" s="48"/>
      <c r="C970" s="49"/>
      <c r="D970" s="10"/>
      <c r="E970" s="50"/>
      <c r="F970" s="50"/>
      <c r="G970" s="10"/>
    </row>
    <row r="971" spans="2:7" ht="28.5" customHeight="1" x14ac:dyDescent="0.45">
      <c r="B971" s="48"/>
      <c r="C971" s="49"/>
      <c r="D971" s="10"/>
      <c r="E971" s="50"/>
      <c r="F971" s="50"/>
      <c r="G971" s="10"/>
    </row>
    <row r="972" spans="2:7" ht="28.5" customHeight="1" x14ac:dyDescent="0.45">
      <c r="B972" s="48"/>
      <c r="C972" s="49"/>
      <c r="D972" s="10"/>
      <c r="E972" s="50"/>
      <c r="F972" s="50"/>
      <c r="G972" s="10"/>
    </row>
    <row r="973" spans="2:7" ht="28.5" customHeight="1" x14ac:dyDescent="0.45">
      <c r="B973" s="48"/>
      <c r="C973" s="49"/>
      <c r="D973" s="10"/>
      <c r="E973" s="50"/>
      <c r="F973" s="50"/>
      <c r="G973" s="10"/>
    </row>
    <row r="974" spans="2:7" ht="28.5" customHeight="1" x14ac:dyDescent="0.45">
      <c r="B974" s="48"/>
      <c r="C974" s="49"/>
      <c r="D974" s="10"/>
      <c r="E974" s="50"/>
      <c r="F974" s="50"/>
      <c r="G974" s="10"/>
    </row>
    <row r="975" spans="2:7" ht="28.5" customHeight="1" x14ac:dyDescent="0.45">
      <c r="B975" s="48"/>
      <c r="C975" s="49"/>
      <c r="D975" s="10"/>
      <c r="E975" s="50"/>
      <c r="F975" s="50"/>
      <c r="G975" s="10"/>
    </row>
    <row r="976" spans="2:7" ht="28.5" customHeight="1" x14ac:dyDescent="0.45">
      <c r="B976" s="48"/>
      <c r="C976" s="49"/>
      <c r="D976" s="10"/>
      <c r="E976" s="50"/>
      <c r="F976" s="50"/>
      <c r="G976" s="10"/>
    </row>
    <row r="977" spans="2:7" ht="28.5" customHeight="1" x14ac:dyDescent="0.45">
      <c r="B977" s="48"/>
      <c r="C977" s="49"/>
      <c r="D977" s="10"/>
      <c r="E977" s="50"/>
      <c r="F977" s="50"/>
      <c r="G977" s="10"/>
    </row>
    <row r="978" spans="2:7" ht="28.5" customHeight="1" x14ac:dyDescent="0.45">
      <c r="B978" s="48"/>
      <c r="C978" s="49"/>
      <c r="D978" s="10"/>
      <c r="E978" s="50"/>
      <c r="F978" s="50"/>
      <c r="G978" s="10"/>
    </row>
    <row r="979" spans="2:7" ht="28.5" customHeight="1" x14ac:dyDescent="0.45">
      <c r="B979" s="48"/>
      <c r="C979" s="49"/>
      <c r="D979" s="10"/>
      <c r="E979" s="50"/>
      <c r="F979" s="50"/>
      <c r="G979" s="10"/>
    </row>
    <row r="980" spans="2:7" ht="28.5" customHeight="1" x14ac:dyDescent="0.45">
      <c r="B980" s="48"/>
      <c r="C980" s="49"/>
      <c r="D980" s="10"/>
      <c r="E980" s="50"/>
      <c r="F980" s="50"/>
      <c r="G980" s="10"/>
    </row>
    <row r="981" spans="2:7" ht="28.5" customHeight="1" x14ac:dyDescent="0.45">
      <c r="B981" s="48"/>
      <c r="C981" s="49"/>
      <c r="D981" s="10"/>
      <c r="E981" s="50"/>
      <c r="F981" s="50"/>
      <c r="G981" s="10"/>
    </row>
    <row r="982" spans="2:7" ht="28.5" customHeight="1" x14ac:dyDescent="0.45">
      <c r="B982" s="48"/>
      <c r="C982" s="49"/>
      <c r="D982" s="10"/>
      <c r="E982" s="50"/>
      <c r="F982" s="50"/>
      <c r="G982" s="10"/>
    </row>
    <row r="983" spans="2:7" ht="28.5" customHeight="1" x14ac:dyDescent="0.45">
      <c r="B983" s="48"/>
      <c r="C983" s="49"/>
      <c r="D983" s="10"/>
      <c r="E983" s="50"/>
      <c r="F983" s="50"/>
      <c r="G983" s="10"/>
    </row>
    <row r="984" spans="2:7" ht="28.5" customHeight="1" x14ac:dyDescent="0.45">
      <c r="B984" s="48"/>
      <c r="C984" s="49"/>
      <c r="D984" s="10"/>
      <c r="E984" s="50"/>
      <c r="F984" s="50"/>
      <c r="G984" s="10"/>
    </row>
    <row r="985" spans="2:7" ht="28.5" customHeight="1" x14ac:dyDescent="0.45">
      <c r="B985" s="48"/>
      <c r="C985" s="49"/>
      <c r="D985" s="10"/>
      <c r="E985" s="50"/>
      <c r="F985" s="50"/>
      <c r="G985" s="10"/>
    </row>
    <row r="986" spans="2:7" ht="28.5" customHeight="1" x14ac:dyDescent="0.45">
      <c r="B986" s="48"/>
      <c r="C986" s="49"/>
      <c r="D986" s="10"/>
      <c r="E986" s="50"/>
      <c r="F986" s="50"/>
      <c r="G986" s="10"/>
    </row>
    <row r="987" spans="2:7" ht="28.5" customHeight="1" x14ac:dyDescent="0.45">
      <c r="B987" s="48"/>
      <c r="C987" s="49"/>
      <c r="D987" s="10"/>
      <c r="E987" s="50"/>
      <c r="F987" s="50"/>
      <c r="G987" s="10"/>
    </row>
    <row r="988" spans="2:7" ht="28.5" customHeight="1" x14ac:dyDescent="0.45">
      <c r="B988" s="48"/>
      <c r="C988" s="49"/>
      <c r="D988" s="10"/>
      <c r="E988" s="50"/>
      <c r="F988" s="50"/>
      <c r="G988" s="10"/>
    </row>
    <row r="989" spans="2:7" ht="28.5" customHeight="1" x14ac:dyDescent="0.45">
      <c r="B989" s="48"/>
      <c r="C989" s="49"/>
      <c r="D989" s="10"/>
      <c r="E989" s="50"/>
      <c r="F989" s="50"/>
      <c r="G989" s="10"/>
    </row>
    <row r="990" spans="2:7" ht="28.5" customHeight="1" x14ac:dyDescent="0.45">
      <c r="B990" s="48"/>
      <c r="C990" s="49"/>
      <c r="D990" s="10"/>
      <c r="E990" s="50"/>
      <c r="F990" s="50"/>
      <c r="G990" s="10"/>
    </row>
    <row r="991" spans="2:7" ht="28.5" customHeight="1" x14ac:dyDescent="0.45">
      <c r="B991" s="48"/>
      <c r="C991" s="49"/>
      <c r="D991" s="10"/>
      <c r="E991" s="50"/>
      <c r="F991" s="50"/>
      <c r="G991" s="10"/>
    </row>
    <row r="992" spans="2:7" ht="28.5" customHeight="1" x14ac:dyDescent="0.45">
      <c r="B992" s="48"/>
      <c r="C992" s="49"/>
      <c r="D992" s="10"/>
      <c r="E992" s="50"/>
      <c r="F992" s="50"/>
      <c r="G992" s="10"/>
    </row>
  </sheetData>
  <mergeCells count="54">
    <mergeCell ref="C240:C245"/>
    <mergeCell ref="C159:C160"/>
    <mergeCell ref="C161:C162"/>
    <mergeCell ref="C164:C167"/>
    <mergeCell ref="C168:C174"/>
    <mergeCell ref="C175:C176"/>
    <mergeCell ref="C177:C182"/>
    <mergeCell ref="C183:C186"/>
    <mergeCell ref="C220:C222"/>
    <mergeCell ref="C223:C228"/>
    <mergeCell ref="C188:C191"/>
    <mergeCell ref="C192:C197"/>
    <mergeCell ref="C146:C149"/>
    <mergeCell ref="C150:C153"/>
    <mergeCell ref="C154:C158"/>
    <mergeCell ref="C230:C236"/>
    <mergeCell ref="C237:C239"/>
    <mergeCell ref="C122:C125"/>
    <mergeCell ref="C127:C133"/>
    <mergeCell ref="C134:C137"/>
    <mergeCell ref="C138:C141"/>
    <mergeCell ref="C142:C145"/>
    <mergeCell ref="B206:B228"/>
    <mergeCell ref="B230:B245"/>
    <mergeCell ref="B2:B23"/>
    <mergeCell ref="C2:C6"/>
    <mergeCell ref="C7:C9"/>
    <mergeCell ref="C10:C16"/>
    <mergeCell ref="C17:C22"/>
    <mergeCell ref="C24:C31"/>
    <mergeCell ref="C79:C83"/>
    <mergeCell ref="C85:C87"/>
    <mergeCell ref="C59:C72"/>
    <mergeCell ref="C73:C77"/>
    <mergeCell ref="C88:C112"/>
    <mergeCell ref="C113:C116"/>
    <mergeCell ref="C117:C118"/>
    <mergeCell ref="C119:C121"/>
    <mergeCell ref="A206:A246"/>
    <mergeCell ref="A2:A205"/>
    <mergeCell ref="C198:C201"/>
    <mergeCell ref="C202:C204"/>
    <mergeCell ref="C206:C212"/>
    <mergeCell ref="C213:C216"/>
    <mergeCell ref="C217:C219"/>
    <mergeCell ref="C32:C36"/>
    <mergeCell ref="C37:C44"/>
    <mergeCell ref="C45:C49"/>
    <mergeCell ref="C50:C58"/>
    <mergeCell ref="B24:B83"/>
    <mergeCell ref="B85:B125"/>
    <mergeCell ref="B127:B162"/>
    <mergeCell ref="B164:B186"/>
    <mergeCell ref="B188:B204"/>
  </mergeCells>
  <pageMargins left="0.75" right="0.75" top="1" bottom="1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NETZAHUATL JIMENEZ</dc:creator>
  <cp:lastModifiedBy>Javier</cp:lastModifiedBy>
  <dcterms:created xsi:type="dcterms:W3CDTF">2011-05-18T15:32:22Z</dcterms:created>
  <dcterms:modified xsi:type="dcterms:W3CDTF">2026-05-19T00:31:35Z</dcterms:modified>
</cp:coreProperties>
</file>